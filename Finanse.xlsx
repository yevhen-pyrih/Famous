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013-23\Downloads\"/>
    </mc:Choice>
  </mc:AlternateContent>
  <xr:revisionPtr revIDLastSave="0" documentId="13_ncr:1_{A49E8BF5-966A-4D8C-AB69-77125C6FB69C}" xr6:coauthVersionLast="47" xr6:coauthVersionMax="47" xr10:uidLastSave="{00000000-0000-0000-0000-000000000000}"/>
  <bookViews>
    <workbookView xWindow="-120" yWindow="-120" windowWidth="29040" windowHeight="15840" xr2:uid="{19EE711A-3283-4873-9107-9C9869A047C7}"/>
  </bookViews>
  <sheets>
    <sheet name="operations" sheetId="2" r:id="rId1"/>
    <sheet name="Dictionary" sheetId="3" r:id="rId2"/>
    <sheet name="1" sheetId="4" r:id="rId3"/>
    <sheet name="2" sheetId="8" r:id="rId4"/>
    <sheet name="3" sheetId="9" r:id="rId5"/>
    <sheet name="4" sheetId="10" r:id="rId6"/>
    <sheet name="5" sheetId="11" r:id="rId7"/>
    <sheet name="6" sheetId="12" r:id="rId8"/>
    <sheet name="7" sheetId="13" r:id="rId9"/>
    <sheet name="8" sheetId="14" r:id="rId10"/>
    <sheet name="9" sheetId="15" r:id="rId11"/>
    <sheet name="10" sheetId="16" r:id="rId12"/>
    <sheet name="11" sheetId="17" r:id="rId13"/>
    <sheet name="12" sheetId="1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8" l="1" a="1"/>
  <c r="B11" i="18" s="1"/>
  <c r="B11" i="17" a="1"/>
  <c r="B11" i="17" s="1"/>
  <c r="B11" i="16" a="1"/>
  <c r="B11" i="16" s="1"/>
  <c r="B11" i="15" a="1"/>
  <c r="B11" i="15" s="1"/>
  <c r="B11" i="14" a="1"/>
  <c r="B11" i="14" s="1"/>
  <c r="B11" i="13" a="1"/>
  <c r="B11" i="13" s="1"/>
  <c r="B11" i="12" a="1"/>
  <c r="B11" i="12" s="1"/>
  <c r="B11" i="11" a="1"/>
  <c r="B11" i="11" s="1"/>
  <c r="B11" i="10" a="1"/>
  <c r="B11" i="10" s="1"/>
  <c r="B11" i="9" a="1"/>
  <c r="B11" i="9" s="1"/>
  <c r="B11" i="4" a="1"/>
  <c r="B11" i="4" s="1"/>
  <c r="B11" i="8" a="1"/>
  <c r="B11" i="8" s="1"/>
  <c r="H7" i="9" l="1"/>
  <c r="G30" i="2"/>
  <c r="G16" i="2"/>
  <c r="K9" i="11" s="1"/>
  <c r="G3" i="2"/>
  <c r="G4" i="2"/>
  <c r="G5" i="2"/>
  <c r="D2" i="13" s="1"/>
  <c r="G6" i="2"/>
  <c r="D5" i="12" s="1"/>
  <c r="G7" i="2"/>
  <c r="G8" i="2"/>
  <c r="G9" i="2"/>
  <c r="D6" i="14" s="1"/>
  <c r="G10" i="2"/>
  <c r="D3" i="15" s="1"/>
  <c r="G11" i="2"/>
  <c r="K4" i="14" s="1"/>
  <c r="G12" i="2"/>
  <c r="G13" i="2"/>
  <c r="G14" i="2"/>
  <c r="K3" i="18" s="1"/>
  <c r="G15" i="2"/>
  <c r="G17" i="2"/>
  <c r="G18" i="2"/>
  <c r="D8" i="11" s="1"/>
  <c r="G19" i="2"/>
  <c r="H3" i="11" s="1"/>
  <c r="G20" i="2"/>
  <c r="G21" i="2"/>
  <c r="G22" i="2"/>
  <c r="G23" i="2"/>
  <c r="G24" i="2"/>
  <c r="G25" i="2"/>
  <c r="G26" i="2"/>
  <c r="G27" i="2"/>
  <c r="K4" i="11" s="1"/>
  <c r="G28" i="2"/>
  <c r="G29" i="2"/>
  <c r="G31" i="2"/>
  <c r="G32" i="2"/>
  <c r="B16" i="18" s="1"/>
  <c r="G33" i="2"/>
  <c r="G34" i="2"/>
  <c r="G35" i="2"/>
  <c r="K10" i="15" s="1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K10" i="18" s="1"/>
  <c r="G49" i="2"/>
  <c r="G50" i="2"/>
  <c r="G51" i="2"/>
  <c r="G52" i="2"/>
  <c r="H6" i="12" s="1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K2" i="11" s="1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H7" i="15" s="1"/>
  <c r="G122" i="2"/>
  <c r="G123" i="2"/>
  <c r="G124" i="2"/>
  <c r="D6" i="17" s="1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" i="2"/>
  <c r="K5" i="13" s="1"/>
  <c r="C9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" i="2"/>
  <c r="B16" i="8" s="1"/>
  <c r="H4" i="8" l="1"/>
  <c r="H4" i="13"/>
  <c r="H4" i="12"/>
  <c r="H4" i="14"/>
  <c r="H4" i="15"/>
  <c r="K6" i="8"/>
  <c r="K6" i="18"/>
  <c r="K6" i="9"/>
  <c r="H4" i="10"/>
  <c r="D2" i="12"/>
  <c r="H3" i="13"/>
  <c r="D5" i="13"/>
  <c r="K3" i="14"/>
  <c r="H2" i="14"/>
  <c r="D2" i="15"/>
  <c r="K2" i="15"/>
  <c r="D6" i="13"/>
  <c r="B14" i="13"/>
  <c r="D3" i="14"/>
  <c r="H3" i="15"/>
  <c r="K7" i="15"/>
  <c r="H4" i="16"/>
  <c r="B15" i="17"/>
  <c r="K6" i="17"/>
  <c r="H4" i="18"/>
  <c r="K6" i="16"/>
  <c r="D7" i="18"/>
  <c r="K10" i="14"/>
  <c r="H5" i="18"/>
  <c r="K2" i="18"/>
  <c r="B15" i="9"/>
  <c r="K3" i="9"/>
  <c r="B16" i="9"/>
  <c r="D4" i="10"/>
  <c r="K5" i="10"/>
  <c r="B16" i="10"/>
  <c r="B16" i="11"/>
  <c r="D6" i="12"/>
  <c r="K8" i="12"/>
  <c r="K6" i="13"/>
  <c r="H6" i="14"/>
  <c r="K10" i="16"/>
  <c r="B16" i="16"/>
  <c r="H4" i="17"/>
  <c r="K5" i="8"/>
  <c r="D4" i="17"/>
  <c r="K5" i="16"/>
  <c r="D4" i="14"/>
  <c r="B14" i="11"/>
  <c r="B14" i="9"/>
  <c r="K5" i="17"/>
  <c r="D4" i="16"/>
  <c r="B14" i="15"/>
  <c r="D4" i="15"/>
  <c r="B14" i="14"/>
  <c r="D4" i="12"/>
  <c r="D4" i="11"/>
  <c r="K5" i="11"/>
  <c r="B14" i="10"/>
  <c r="D4" i="9"/>
  <c r="D4" i="18"/>
  <c r="B14" i="18"/>
  <c r="K5" i="18"/>
  <c r="B14" i="17"/>
  <c r="B14" i="16"/>
  <c r="D8" i="8"/>
  <c r="B16" i="13"/>
  <c r="B16" i="12"/>
  <c r="B16" i="14"/>
  <c r="B16" i="15"/>
  <c r="H3" i="8"/>
  <c r="H3" i="10"/>
  <c r="H3" i="16"/>
  <c r="H3" i="9"/>
  <c r="H3" i="18"/>
  <c r="H3" i="17"/>
  <c r="K3" i="15"/>
  <c r="K3" i="13"/>
  <c r="K3" i="10"/>
  <c r="K3" i="16"/>
  <c r="K3" i="17"/>
  <c r="D3" i="8"/>
  <c r="D3" i="18"/>
  <c r="D3" i="17"/>
  <c r="D3" i="16"/>
  <c r="H2" i="15"/>
  <c r="D3" i="11"/>
  <c r="D3" i="10"/>
  <c r="D3" i="9"/>
  <c r="H2" i="18"/>
  <c r="H2" i="17"/>
  <c r="H2" i="16"/>
  <c r="D3" i="13"/>
  <c r="D3" i="12"/>
  <c r="H2" i="11"/>
  <c r="H2" i="10"/>
  <c r="H2" i="9"/>
  <c r="K7" i="17"/>
  <c r="D5" i="14"/>
  <c r="K7" i="11"/>
  <c r="K7" i="18"/>
  <c r="D5" i="15"/>
  <c r="K7" i="14"/>
  <c r="K7" i="13"/>
  <c r="K7" i="12"/>
  <c r="K7" i="10"/>
  <c r="D5" i="18"/>
  <c r="D5" i="17"/>
  <c r="D5" i="16"/>
  <c r="K9" i="8"/>
  <c r="K9" i="18"/>
  <c r="K9" i="14"/>
  <c r="K9" i="10"/>
  <c r="K9" i="17"/>
  <c r="K9" i="13"/>
  <c r="K9" i="9"/>
  <c r="K9" i="16"/>
  <c r="H4" i="9"/>
  <c r="D8" i="10"/>
  <c r="K4" i="10"/>
  <c r="B15" i="11"/>
  <c r="H4" i="11"/>
  <c r="K3" i="12"/>
  <c r="B14" i="12"/>
  <c r="K10" i="13"/>
  <c r="H3" i="14"/>
  <c r="K5" i="15"/>
  <c r="D6" i="16"/>
  <c r="K10" i="17"/>
  <c r="K2" i="10"/>
  <c r="K2" i="16"/>
  <c r="D8" i="17"/>
  <c r="D8" i="15"/>
  <c r="D8" i="13"/>
  <c r="D8" i="18"/>
  <c r="D8" i="14"/>
  <c r="D8" i="12"/>
  <c r="D8" i="16"/>
  <c r="H5" i="9"/>
  <c r="H5" i="17"/>
  <c r="D6" i="8"/>
  <c r="K8" i="15"/>
  <c r="K8" i="11"/>
  <c r="D6" i="9"/>
  <c r="K8" i="18"/>
  <c r="D6" i="18"/>
  <c r="D6" i="15"/>
  <c r="K8" i="14"/>
  <c r="D6" i="11"/>
  <c r="K8" i="10"/>
  <c r="D6" i="10"/>
  <c r="K8" i="17"/>
  <c r="D2" i="8"/>
  <c r="D2" i="14"/>
  <c r="D2" i="17"/>
  <c r="D2" i="16"/>
  <c r="D8" i="9"/>
  <c r="D5" i="9"/>
  <c r="K8" i="9"/>
  <c r="K10" i="10"/>
  <c r="D5" i="10"/>
  <c r="K6" i="10"/>
  <c r="H5" i="11"/>
  <c r="D5" i="11"/>
  <c r="H2" i="12"/>
  <c r="H3" i="12"/>
  <c r="K2" i="12"/>
  <c r="H6" i="13"/>
  <c r="K5" i="14"/>
  <c r="H5" i="14"/>
  <c r="K9" i="15"/>
  <c r="H2" i="4"/>
  <c r="K10" i="8"/>
  <c r="H7" i="8"/>
  <c r="H7" i="18"/>
  <c r="H7" i="16"/>
  <c r="H7" i="11"/>
  <c r="H7" i="10"/>
  <c r="H7" i="17"/>
  <c r="H7" i="13"/>
  <c r="H2" i="8"/>
  <c r="K3" i="8"/>
  <c r="K7" i="8"/>
  <c r="K2" i="8"/>
  <c r="D7" i="8"/>
  <c r="D7" i="11"/>
  <c r="D7" i="10"/>
  <c r="D7" i="9"/>
  <c r="H5" i="8"/>
  <c r="K4" i="8"/>
  <c r="K4" i="17"/>
  <c r="K4" i="13"/>
  <c r="K4" i="9"/>
  <c r="K4" i="16"/>
  <c r="K4" i="12"/>
  <c r="K4" i="15"/>
  <c r="H6" i="8"/>
  <c r="D2" i="9"/>
  <c r="K5" i="9"/>
  <c r="K7" i="9"/>
  <c r="H5" i="10"/>
  <c r="B15" i="10"/>
  <c r="D2" i="10"/>
  <c r="K3" i="11"/>
  <c r="K10" i="11"/>
  <c r="D2" i="11"/>
  <c r="K5" i="12"/>
  <c r="H7" i="12"/>
  <c r="K9" i="12"/>
  <c r="H2" i="13"/>
  <c r="D4" i="13"/>
  <c r="K8" i="13"/>
  <c r="H7" i="14"/>
  <c r="D7" i="14"/>
  <c r="K6" i="14"/>
  <c r="D7" i="15"/>
  <c r="K7" i="16"/>
  <c r="K8" i="16"/>
  <c r="B16" i="17"/>
  <c r="D2" i="18"/>
  <c r="K4" i="18"/>
  <c r="B15" i="16"/>
  <c r="K10" i="9"/>
  <c r="H6" i="9"/>
  <c r="K2" i="9"/>
  <c r="H6" i="10"/>
  <c r="H6" i="11"/>
  <c r="K6" i="11"/>
  <c r="D7" i="12"/>
  <c r="D7" i="13"/>
  <c r="H5" i="13"/>
  <c r="K2" i="13"/>
  <c r="K11" i="13" s="1"/>
  <c r="B15" i="15"/>
  <c r="B17" i="15" s="1"/>
  <c r="K6" i="15"/>
  <c r="H6" i="16"/>
  <c r="H6" i="17"/>
  <c r="K2" i="17"/>
  <c r="H6" i="18"/>
  <c r="B15" i="12"/>
  <c r="H5" i="12"/>
  <c r="K10" i="12"/>
  <c r="K6" i="12"/>
  <c r="B15" i="13"/>
  <c r="B17" i="13" s="1"/>
  <c r="B15" i="14"/>
  <c r="K2" i="14"/>
  <c r="H5" i="15"/>
  <c r="H6" i="15"/>
  <c r="H5" i="16"/>
  <c r="D7" i="16"/>
  <c r="D7" i="17"/>
  <c r="B15" i="18"/>
  <c r="B17" i="18" s="1"/>
  <c r="B17" i="11"/>
  <c r="D5" i="8"/>
  <c r="D4" i="8"/>
  <c r="B14" i="8"/>
  <c r="K8" i="8"/>
  <c r="B15" i="8"/>
  <c r="B15" i="4"/>
  <c r="B16" i="4"/>
  <c r="B14" i="4"/>
  <c r="K5" i="4"/>
  <c r="K8" i="4"/>
  <c r="K4" i="4"/>
  <c r="K10" i="4"/>
  <c r="K6" i="4"/>
  <c r="K9" i="4"/>
  <c r="K7" i="4"/>
  <c r="K3" i="4"/>
  <c r="K2" i="4"/>
  <c r="H7" i="4"/>
  <c r="H5" i="4"/>
  <c r="H4" i="4"/>
  <c r="H3" i="4"/>
  <c r="H6" i="4"/>
  <c r="D2" i="4"/>
  <c r="E2" i="4" s="1"/>
  <c r="D6" i="4"/>
  <c r="E6" i="4" s="1"/>
  <c r="D8" i="4"/>
  <c r="E8" i="4" s="1"/>
  <c r="D7" i="4"/>
  <c r="E7" i="4" s="1"/>
  <c r="D5" i="4"/>
  <c r="E5" i="4" s="1"/>
  <c r="D4" i="4"/>
  <c r="E4" i="4" s="1"/>
  <c r="D3" i="4"/>
  <c r="E3" i="4" s="1"/>
  <c r="C6" i="8" a="1"/>
  <c r="C2" i="8" a="1"/>
  <c r="C8" i="8" a="1"/>
  <c r="C7" i="8" a="1"/>
  <c r="C4" i="8" a="1"/>
  <c r="C5" i="8" a="1"/>
  <c r="C3" i="8" a="1"/>
  <c r="B17" i="9" l="1"/>
  <c r="D9" i="18"/>
  <c r="K11" i="10"/>
  <c r="D9" i="16"/>
  <c r="K11" i="14"/>
  <c r="B17" i="12"/>
  <c r="H8" i="10"/>
  <c r="K11" i="16"/>
  <c r="B17" i="17"/>
  <c r="D9" i="12"/>
  <c r="K11" i="18"/>
  <c r="K11" i="12"/>
  <c r="K11" i="17"/>
  <c r="H8" i="15"/>
  <c r="H8" i="14"/>
  <c r="H8" i="11"/>
  <c r="D9" i="13"/>
  <c r="H8" i="8"/>
  <c r="B17" i="16"/>
  <c r="H8" i="17"/>
  <c r="H8" i="18"/>
  <c r="B17" i="10"/>
  <c r="D9" i="14"/>
  <c r="D9" i="15"/>
  <c r="H8" i="13"/>
  <c r="H8" i="12"/>
  <c r="H8" i="16"/>
  <c r="D9" i="9"/>
  <c r="D9" i="10"/>
  <c r="D9" i="17"/>
  <c r="H8" i="9"/>
  <c r="D9" i="11"/>
  <c r="B17" i="14"/>
  <c r="K11" i="11"/>
  <c r="K11" i="9"/>
  <c r="K11" i="15"/>
  <c r="K11" i="8"/>
  <c r="D9" i="8"/>
  <c r="B17" i="8"/>
  <c r="C3" i="8"/>
  <c r="E3" i="8" s="1"/>
  <c r="C8" i="8"/>
  <c r="E8" i="8" s="1"/>
  <c r="C4" i="8"/>
  <c r="E4" i="8" s="1"/>
  <c r="C6" i="8"/>
  <c r="E6" i="8" s="1"/>
  <c r="C5" i="8"/>
  <c r="E5" i="8" s="1"/>
  <c r="C2" i="8"/>
  <c r="E2" i="8" s="1"/>
  <c r="C7" i="8"/>
  <c r="E7" i="8" s="1"/>
  <c r="B17" i="4"/>
  <c r="K11" i="4"/>
  <c r="H8" i="4"/>
  <c r="E9" i="4"/>
  <c r="D9" i="4"/>
  <c r="C5" i="9" a="1"/>
  <c r="C6" i="9" a="1"/>
  <c r="C4" i="9" a="1"/>
  <c r="C7" i="9" a="1"/>
  <c r="C8" i="9" a="1"/>
  <c r="C2" i="9" a="1"/>
  <c r="C3" i="9" a="1"/>
  <c r="C2" i="9" l="1"/>
  <c r="C6" i="9"/>
  <c r="E6" i="9" s="1"/>
  <c r="C7" i="9"/>
  <c r="E7" i="9" s="1"/>
  <c r="C4" i="9"/>
  <c r="E4" i="9" s="1"/>
  <c r="C8" i="9"/>
  <c r="E8" i="9" s="1"/>
  <c r="C5" i="9"/>
  <c r="E5" i="9" s="1"/>
  <c r="C3" i="9"/>
  <c r="E3" i="9" s="1"/>
  <c r="C9" i="8"/>
  <c r="E9" i="8"/>
  <c r="C4" i="10" a="1"/>
  <c r="C8" i="10" a="1"/>
  <c r="C7" i="10" a="1"/>
  <c r="C5" i="10" a="1"/>
  <c r="C3" i="10" a="1"/>
  <c r="C6" i="10" a="1"/>
  <c r="C3" i="10" l="1"/>
  <c r="E3" i="10" s="1"/>
  <c r="C7" i="10"/>
  <c r="E7" i="10" s="1"/>
  <c r="C4" i="10"/>
  <c r="E4" i="10" s="1"/>
  <c r="C6" i="10"/>
  <c r="E6" i="10" s="1"/>
  <c r="C5" i="10"/>
  <c r="E5" i="10" s="1"/>
  <c r="C8" i="10"/>
  <c r="E8" i="10" s="1"/>
  <c r="E2" i="9"/>
  <c r="C9" i="9"/>
  <c r="C3" i="11" a="1"/>
  <c r="C4" i="11" a="1"/>
  <c r="C5" i="11" a="1"/>
  <c r="C6" i="11" a="1"/>
  <c r="C7" i="11" a="1"/>
  <c r="C2" i="10" a="1"/>
  <c r="C8" i="11" a="1"/>
  <c r="C6" i="11" l="1"/>
  <c r="E6" i="11" s="1"/>
  <c r="C4" i="11"/>
  <c r="E4" i="11" s="1"/>
  <c r="C8" i="11"/>
  <c r="E8" i="11" s="1"/>
  <c r="C7" i="11"/>
  <c r="E7" i="11" s="1"/>
  <c r="C5" i="11"/>
  <c r="E5" i="11" s="1"/>
  <c r="C3" i="11"/>
  <c r="E3" i="11" s="1"/>
  <c r="C2" i="10"/>
  <c r="E9" i="9"/>
  <c r="C6" i="12" a="1"/>
  <c r="C5" i="12" a="1"/>
  <c r="C4" i="12" a="1"/>
  <c r="C8" i="12" a="1"/>
  <c r="C3" i="12" a="1"/>
  <c r="C7" i="12" a="1"/>
  <c r="C8" i="12" l="1"/>
  <c r="E8" i="12" s="1"/>
  <c r="C5" i="12"/>
  <c r="E5" i="12" s="1"/>
  <c r="C7" i="12"/>
  <c r="E7" i="12" s="1"/>
  <c r="C3" i="12"/>
  <c r="E3" i="12" s="1"/>
  <c r="C4" i="12"/>
  <c r="E4" i="12" s="1"/>
  <c r="C6" i="12"/>
  <c r="E6" i="12" s="1"/>
  <c r="E2" i="10"/>
  <c r="C9" i="10"/>
  <c r="C8" i="13" a="1"/>
  <c r="C3" i="13" a="1"/>
  <c r="C5" i="13" a="1"/>
  <c r="C6" i="13" a="1"/>
  <c r="C4" i="13" a="1"/>
  <c r="C7" i="13" a="1"/>
  <c r="C2" i="11" a="1"/>
  <c r="C7" i="13" l="1"/>
  <c r="E7" i="13" s="1"/>
  <c r="C3" i="13"/>
  <c r="E3" i="13" s="1"/>
  <c r="C6" i="13"/>
  <c r="E6" i="13" s="1"/>
  <c r="C5" i="13"/>
  <c r="E5" i="13" s="1"/>
  <c r="C4" i="13"/>
  <c r="E4" i="13" s="1"/>
  <c r="C8" i="13"/>
  <c r="E8" i="13" s="1"/>
  <c r="C2" i="11"/>
  <c r="E9" i="10"/>
  <c r="C3" i="14" a="1"/>
  <c r="C5" i="14" a="1"/>
  <c r="C7" i="14" a="1"/>
  <c r="C8" i="14" a="1"/>
  <c r="C4" i="14" a="1"/>
  <c r="C6" i="14" a="1"/>
  <c r="C4" i="14" l="1"/>
  <c r="E4" i="14" s="1"/>
  <c r="C5" i="14"/>
  <c r="E5" i="14" s="1"/>
  <c r="C6" i="14"/>
  <c r="E6" i="14" s="1"/>
  <c r="C7" i="14"/>
  <c r="E7" i="14" s="1"/>
  <c r="C8" i="14"/>
  <c r="E8" i="14" s="1"/>
  <c r="C3" i="14"/>
  <c r="E3" i="14" s="1"/>
  <c r="C9" i="11"/>
  <c r="E2" i="11"/>
  <c r="C4" i="15" a="1"/>
  <c r="C7" i="15" a="1"/>
  <c r="C5" i="15" a="1"/>
  <c r="C3" i="15" a="1"/>
  <c r="C8" i="15" a="1"/>
  <c r="C6" i="15" a="1"/>
  <c r="C2" i="12" a="1"/>
  <c r="C6" i="15" l="1"/>
  <c r="E6" i="15" s="1"/>
  <c r="C7" i="15"/>
  <c r="E7" i="15" s="1"/>
  <c r="C3" i="15"/>
  <c r="E3" i="15" s="1"/>
  <c r="C5" i="15"/>
  <c r="E5" i="15" s="1"/>
  <c r="C8" i="15"/>
  <c r="E8" i="15" s="1"/>
  <c r="C4" i="15"/>
  <c r="E4" i="15" s="1"/>
  <c r="C2" i="12"/>
  <c r="E9" i="11"/>
  <c r="C6" i="16" a="1"/>
  <c r="C7" i="16" a="1"/>
  <c r="C5" i="16" a="1"/>
  <c r="C8" i="16" a="1"/>
  <c r="C3" i="16" a="1"/>
  <c r="C4" i="16" a="1"/>
  <c r="C3" i="16" l="1"/>
  <c r="E3" i="16" s="1"/>
  <c r="C7" i="16"/>
  <c r="E7" i="16" s="1"/>
  <c r="C5" i="16"/>
  <c r="E5" i="16" s="1"/>
  <c r="C4" i="16"/>
  <c r="E4" i="16" s="1"/>
  <c r="C8" i="16"/>
  <c r="E8" i="16" s="1"/>
  <c r="C6" i="16"/>
  <c r="E6" i="16" s="1"/>
  <c r="E2" i="12"/>
  <c r="C9" i="12"/>
  <c r="C3" i="17" a="1"/>
  <c r="C6" i="17" a="1"/>
  <c r="C8" i="17" a="1"/>
  <c r="C5" i="17" a="1"/>
  <c r="C4" i="17" a="1"/>
  <c r="C2" i="13" a="1"/>
  <c r="C7" i="17" a="1"/>
  <c r="C5" i="17" l="1"/>
  <c r="E5" i="17" s="1"/>
  <c r="C6" i="17"/>
  <c r="E6" i="17" s="1"/>
  <c r="C7" i="17"/>
  <c r="E7" i="17" s="1"/>
  <c r="C4" i="17"/>
  <c r="E4" i="17" s="1"/>
  <c r="C8" i="17"/>
  <c r="E8" i="17" s="1"/>
  <c r="C3" i="17"/>
  <c r="E3" i="17" s="1"/>
  <c r="C2" i="13"/>
  <c r="E9" i="12"/>
  <c r="C5" i="18" a="1"/>
  <c r="C7" i="18" a="1"/>
  <c r="C8" i="18" a="1"/>
  <c r="C6" i="18" a="1"/>
  <c r="C4" i="18" a="1"/>
  <c r="C3" i="18" a="1"/>
  <c r="C4" i="18" l="1"/>
  <c r="E4" i="18" s="1"/>
  <c r="C7" i="18"/>
  <c r="E7" i="18" s="1"/>
  <c r="C3" i="18"/>
  <c r="E3" i="18" s="1"/>
  <c r="C6" i="18"/>
  <c r="E6" i="18" s="1"/>
  <c r="C8" i="18"/>
  <c r="E8" i="18" s="1"/>
  <c r="C5" i="18"/>
  <c r="E5" i="18" s="1"/>
  <c r="C9" i="13"/>
  <c r="E2" i="13"/>
  <c r="C2" i="14" a="1"/>
  <c r="C2" i="14" l="1"/>
  <c r="E9" i="13"/>
  <c r="C9" i="14" l="1"/>
  <c r="E2" i="14"/>
  <c r="C2" i="15" a="1"/>
  <c r="C2" i="15" l="1"/>
  <c r="E9" i="14"/>
  <c r="E2" i="15" l="1"/>
  <c r="C9" i="15"/>
  <c r="C2" i="16" a="1"/>
  <c r="C2" i="16" l="1"/>
  <c r="E9" i="15"/>
  <c r="E2" i="16" l="1"/>
  <c r="C9" i="16"/>
  <c r="C2" i="17" a="1"/>
  <c r="C2" i="17" l="1"/>
  <c r="E9" i="16"/>
  <c r="C9" i="17" l="1"/>
  <c r="E2" i="17"/>
  <c r="C2" i="18" a="1"/>
  <c r="C2" i="18" l="1"/>
  <c r="E9" i="17"/>
  <c r="C9" i="18" l="1"/>
  <c r="E2" i="18"/>
  <c r="E9" i="1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<sst xmlns="http://schemas.openxmlformats.org/spreadsheetml/2006/main" count="1262" uniqueCount="38">
  <si>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</si>
  <si>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</si>
  <si>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</si>
  <si>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</si>
  <si>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</si>
  <si>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</si>
  <si>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</si>
  <si>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</si>
  <si>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</si>
  <si>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</si>
  <si>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</si>
  <si>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</si>
  <si>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</si>
  <si>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</si>
  <si>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</si>
  <si>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</si>
  <si>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</si>
  <si>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</si>
  <si>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</si>
  <si>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</si>
  <si>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</si>
  <si>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</si>
  <si>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</si>
  <si>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</si>
  <si>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</si>
  <si>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</si>
  <si>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</si>
  <si>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</si>
  <si>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</si>
  <si>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</si>
  <si>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</si>
  <si>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</si>
  <si>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</si>
  <si>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</si>
  <si>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Total</t>
  </si>
  <si>
    <t>Closing balance</t>
  </si>
  <si>
    <t>Operations</t>
  </si>
  <si>
    <t>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</si>
</sst>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;[Red]\-#,##0.00\ &quot;zł&quot;"/>
    <numFmt numFmtId="165" formatCode="_-* #,##0.00\ [$zł-415]_-;\-* #,##0.00\ [$zł-415]_-;_-* &quot;-&quot;??\ [$zł-415]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A7D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21">
    <xf numFmtId="0" fontId="0" fillId="0" borderId="0" xfId="0"/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165" fontId="0" fillId="0" borderId="0" xfId="0" applyNumberFormat="1"/>
    <xf numFmtId="0" fontId="1" fillId="0" borderId="1" xfId="1" applyFont="1"/>
    <xf numFmtId="2" fontId="0" fillId="0" borderId="0" xfId="0" applyNumberFormat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" xfId="1" applyNumberFormat="1" applyFont="1"/>
    <xf numFmtId="164" fontId="0" fillId="0" borderId="0" xfId="0" applyNumberFormat="1"/>
  </cellXfs>
  <cellStyles count="2">
    <cellStyle name="Linked Cell" xfId="1" builtinId="24"/>
    <cellStyle name="Normal" xfId="0" builtinId="0"/>
  </cellStyles>
  <dxfs count="151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numFmt numFmtId="165" formatCode="_-* #,##0.00\ [$zł-415]_-;\-* #,##0.00\ [$zł-415]_-;_-* &quot;-&quot;??\ [$zł-415]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FB2292-5AEA-432F-8128-9E05D027336D}" name="operations" displayName="operations" ref="A1:G207" totalsRowShown="0" headerRowDxfId="150">
  <autoFilter ref="A1:G207" xr:uid="{06FB2292-5AEA-432F-8128-9E05D027336D}"/>
  <tableColumns count="7">
    <tableColumn id="1" xr3:uid="{4162AF2F-CC36-4CE8-A433-3C3565A96A78}" name="Amount"/>
    <tableColumn id="2" xr3:uid="{B319CFE2-A23B-4DF3-8070-1E04BEB2CB55}" name="Bank"/>
    <tableColumn id="3" xr3:uid="{42F21B05-1EA2-42E9-AD25-E18F92D7BBC2}" name="Product"/>
    <tableColumn id="4" xr3:uid="{A0B78DDA-1BEB-4036-9D32-35449A6B08C1}" name="Category"/>
    <tableColumn id="5" xr3:uid="{9EF6016E-E3B1-4E3E-991B-F5E00CFE901D}" name="Type"/>
    <tableColumn id="6" xr3:uid="{147FFA3B-4FD7-47DA-9D08-5FBF36B6DC4E}" name="Date" dataDxfId="149"/>
    <tableColumn id="7" xr3:uid="{675EA7AB-7E1A-4E20-BE13-A7C70DB7DAD2}" name="Month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46233-4CB7-41B2-A903-0B776C034E39}" name="name" displayName="name" ref="A1:B17" totalsRowShown="0">
  <autoFilter ref="A1:B17" xr:uid="{CC346233-4CB7-41B2-A903-0B776C034E39}"/>
  <tableColumns count="2">
    <tableColumn id="1" xr3:uid="{43698C38-7DBA-45F9-8C9C-F627B7DC1B02}" name="Category" dataDxfId="148"/>
    <tableColumn id="2" xr3:uid="{8D835F55-E4CF-4163-8C5C-F93430B9BFAA}" name="Typ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C74F63-A4DF-4A94-8C9D-80C0CBD99039}" name="Products" displayName="Products" ref="D1:E8" totalsRowShown="0" headerRowDxfId="147" dataDxfId="146">
  <autoFilter ref="D1:E8" xr:uid="{0AC74F63-A4DF-4A94-8C9D-80C0CBD99039}"/>
  <sortState xmlns:xlrd2="http://schemas.microsoft.com/office/spreadsheetml/2017/richdata2" ref="D2:E8">
    <sortCondition ref="D2:D8"/>
  </sortState>
  <tableColumns count="2">
    <tableColumn id="1" xr3:uid="{CE0DD4A3-563A-449E-B741-DA1306191CC4}" name="Bank" dataDxfId="145"/>
    <tableColumn id="2" xr3:uid="{C8B335C9-C5D4-45AE-B370-CA14E8329EC7}" name="Product" dataDxfId="144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38EF6C-EBDA-4A20-A913-FFB56B6BFDE3}" name="Flow1" displayName="Flow1" ref="A1:E9" totalsRowCount="1">
  <autoFilter ref="A1:E8" xr:uid="{D08145FA-2B31-4447-A365-BD5CF6F8B50D}"/>
  <tableColumns count="5">
    <tableColumn id="1" xr3:uid="{1EA9A758-C67C-4510-84BB-0812CB482B57}" name="Bank" totalsRowLabel="Total"/>
    <tableColumn id="2" xr3:uid="{549368D9-B3F1-424B-B43C-29A96F88CA45}" name="Product"/>
    <tableColumn id="3" xr3:uid="{1BE67E26-0DC1-4714-BE9B-D0D467B8CBE5}" name="Opening balance" totalsRowFunction="custom" dataDxfId="143" totalsRowDxfId="142">
      <totalsRowFormula>SUBTOTAL(9,Flow1[Opening balance])</totalsRowFormula>
    </tableColumn>
    <tableColumn id="4" xr3:uid="{1BF66AA6-D374-4036-86CE-96C01ED2AA19}" name="Operations" totalsRowFunction="sum" dataDxfId="141" totalsRowDxfId="140">
      <calculatedColumnFormula>SUMIFS(operations[Amount],operations[Bank],Flow1[[#This Row],[Bank]],operations[Product],Flow1[[#This Row],[Product]],operations[Month],$B$11)</calculatedColumnFormula>
    </tableColumn>
    <tableColumn id="5" xr3:uid="{EDC59951-C328-4A3E-9138-3F195AE6EDB4}" name="Closing balance" totalsRowFunction="sum" dataDxfId="139" totalsRowDxfId="138">
      <calculatedColumnFormula>Flow1[[#This Row],[Opening balance]]+Flow1[[#This Row],[Operations]]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7994E2-32A2-45A6-A3CB-C6C3A659CA0D}" name="Incomes1" displayName="Incomes1" ref="G1:H8" totalsRowCount="1">
  <autoFilter ref="G1:H7" xr:uid="{659F4518-6159-4369-AA91-CF0A05C7468B}"/>
  <tableColumns count="2">
    <tableColumn id="1" xr3:uid="{846EB052-EA58-4BB0-83E9-B99C78843362}" name="Category" totalsRowLabel="Total"/>
    <tableColumn id="2" xr3:uid="{E5FDE1B7-4EE4-49E5-BB58-9E3799D55433}" name="Total" totalsRowFunction="custom" dataDxfId="137" totalsRowDxfId="136">
      <calculatedColumnFormula>SUMIFS(operations[Amount], operations[Category], Incomes1[[#This Row],[Category]], operations[Month], $B$11)</calculatedColumnFormula>
      <totalsRowFormula>SUBTOTAL(9,Incomes1[Total])</totalsRow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CA0B0A-D0ED-4BB2-BD06-423451A74183}" name="Expenses1" displayName="Expenses1" ref="J1:K11" totalsRowCount="1">
  <autoFilter ref="J1:K10" xr:uid="{0F882830-378E-4925-BD8B-BDADF3B60994}"/>
  <tableColumns count="2">
    <tableColumn id="1" xr3:uid="{DD7A1F8F-832C-4615-B52A-E4E3E17C1FE4}" name="Category" totalsRowLabel="Total"/>
    <tableColumn id="2" xr3:uid="{F0F76304-01C8-474D-BE78-031C4407FBA6}" name="Total" totalsRowFunction="custom" dataDxfId="135" totalsRowDxfId="134">
      <calculatedColumnFormula>SUMIFS(operations[Amount], operations[Category], Expenses1[[#This Row],[Category]], operations[Month], $B$11)</calculatedColumnFormula>
      <totalsRowFormula>SUBTOTAL(9,Expenses1[Total])</totalsRow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50923B-D78D-4576-8F24-63B19A4222B9}" name="Total1" displayName="Total1" ref="A13:B17" totalsRowCount="1">
  <autoFilter ref="A13:B16" xr:uid="{9100B6B5-494E-4F4E-A38A-343BCA6B4023}"/>
  <tableColumns count="2">
    <tableColumn id="1" xr3:uid="{43914533-C96D-4857-92E5-964D9C3BD621}" name="Type" totalsRowLabel="Total"/>
    <tableColumn id="2" xr3:uid="{A7D39D6C-A4D8-45EA-B0A4-02A5C390F394}" name="Total" totalsRowFunction="custom" dataDxfId="133" totalsRowDxfId="132">
      <calculatedColumnFormula>SUMIFS(operations[Amount], operations[Type], Total1[[#This Row],[Type]], operations[Month], $B$11)</calculatedColumnFormula>
      <totalsRowFormula>SUBTOTAL(9,Total1[Total])</totalsRowFormula>
    </tableColumn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A0EF611-C514-414B-A60D-F8F82AB56B4C}" name="Flow2" displayName="Flow2" ref="A1:E9" totalsRowCount="1">
  <autoFilter ref="A1:E8" xr:uid="{D08145FA-2B31-4447-A365-BD5CF6F8B50D}"/>
  <tableColumns count="5">
    <tableColumn id="1" xr3:uid="{32786B7D-F919-45D5-84C3-3869DE477709}" name="Bank" totalsRowLabel="Total"/>
    <tableColumn id="2" xr3:uid="{714883E3-1CCF-481A-A31F-7CCA35072918}" name="Product"/>
    <tableColumn id="3" xr3:uid="{8F3E3D8C-D7C2-47A7-94CC-ACA792B104C8}" name="Opening balance" totalsRowFunction="custom" dataDxfId="131" totalsRowDxfId="130">
      <calculatedColumnFormula array="1">INDIRECT("Flow" &amp; $B$11-1 &amp; "[@[Closing balance]]")</calculatedColumnFormula>
      <totalsRowFormula>SUBTOTAL(9,Flow2[Opening balance])</totalsRowFormula>
    </tableColumn>
    <tableColumn id="4" xr3:uid="{155F4FFB-FD26-4657-B4F5-D5F478698998}" name="Operations" totalsRowFunction="sum" dataDxfId="129" totalsRowDxfId="128">
      <calculatedColumnFormula>SUMIFS(operations[Amount],operations[Bank],Flow2[[#This Row],[Bank]],operations[Product],Flow2[[#This Row],[Product]],operations[Month],$B$11)</calculatedColumnFormula>
    </tableColumn>
    <tableColumn id="5" xr3:uid="{5CF6C1CB-FD1F-480A-AA58-86F4685DF4F5}" name="Closing balance" totalsRowFunction="sum" dataDxfId="127" totalsRowDxfId="126">
      <calculatedColumnFormula>Flow2[[#This Row],[Opening balance]]+Flow2[[#This Row],[Operations]]</calculatedColumn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1FE7F00-756D-4087-BD5C-9061781425F3}" name="Incomes2" displayName="Incomes2" ref="G1:H8" totalsRowCount="1">
  <autoFilter ref="G1:H7" xr:uid="{659F4518-6159-4369-AA91-CF0A05C7468B}"/>
  <tableColumns count="2">
    <tableColumn id="1" xr3:uid="{34F9E148-A970-4D7E-A146-925BF89464BF}" name="Category" totalsRowLabel="Total"/>
    <tableColumn id="2" xr3:uid="{C502F03B-1CD6-4053-8DEB-F0FA2A2C4AD0}" name="Total" totalsRowFunction="custom" dataDxfId="125" totalsRowDxfId="124">
      <calculatedColumnFormula>SUMIFS(operations[Amount], operations[Category], Incomes2[[#This Row],[Category]], operations[Month], $B$11)</calculatedColumnFormula>
      <totalsRowFormula>SUBTOTAL(9,Incomes2[Total])</totalsRowFormula>
    </tableColumn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2E85F9D-846F-42FB-97B0-5476EE55B310}" name="Expenses2" displayName="Expenses2" ref="J1:K11" totalsRowCount="1">
  <autoFilter ref="J1:K10" xr:uid="{0F882830-378E-4925-BD8B-BDADF3B60994}"/>
  <tableColumns count="2">
    <tableColumn id="1" xr3:uid="{168C627F-3D4D-4370-9AFA-1F5A9F24CF6C}" name="Category" totalsRowLabel="Total"/>
    <tableColumn id="2" xr3:uid="{7E9A7B85-AE47-4B3E-872A-58A38926357F}" name="Total" totalsRowFunction="custom" dataDxfId="123" totalsRowDxfId="122">
      <calculatedColumnFormula>SUMIFS(operations[Amount], operations[Category], Expenses2[[#This Row],[Category]], operations[Month], $B$11)</calculatedColumnFormula>
      <totalsRowFormula>SUBTOTAL(9,Expenses2[Total])</totalsRowFormula>
    </tableColumn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C5E7BB3-95C4-4C5F-BB43-2F2CCB4C3F70}" name="Total2" displayName="Total2" ref="A13:B17" totalsRowCount="1">
  <autoFilter ref="A13:B16" xr:uid="{9100B6B5-494E-4F4E-A38A-343BCA6B4023}"/>
  <tableColumns count="2">
    <tableColumn id="1" xr3:uid="{A4A3C714-1CCB-4A14-8794-03528E048D73}" name="Type" totalsRowLabel="Total"/>
    <tableColumn id="2" xr3:uid="{7E09AB56-4ED0-44EF-B2BD-456448C9DD19}" name="Total" totalsRowFunction="custom" dataDxfId="121" totalsRowDxfId="120">
      <calculatedColumnFormula>SUMIFS(operations[Amount], operations[Type], Total2[[#This Row],[Type]], operations[Month], $B$11)</calculatedColumnFormula>
      <totalsRowFormula>SUBTOTAL(9,Total2[Total])</totalsRowFormula>
    </tableColumn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1F07995-EC65-41F9-AD72-40A44EE87673}" name="Flow3" displayName="Flow3" ref="A1:E9" totalsRowCount="1">
  <autoFilter ref="A1:E8" xr:uid="{D08145FA-2B31-4447-A365-BD5CF6F8B50D}"/>
  <tableColumns count="5">
    <tableColumn id="1" xr3:uid="{654BCD5B-09EA-4BA4-9E7D-6471BD04521D}" name="Bank" totalsRowLabel="Total"/>
    <tableColumn id="2" xr3:uid="{93BF70F2-C60E-4D8B-8C65-3C8B39F3DB53}" name="Product"/>
    <tableColumn id="3" xr3:uid="{67C15AFC-896C-4A23-B5A1-C59215A6B1DA}" name="Opening balance" totalsRowFunction="custom" dataDxfId="119" totalsRowDxfId="118">
      <calculatedColumnFormula array="1">INDIRECT("Flow" &amp; $B$11-1 &amp; "[@[Closing balance]]")</calculatedColumnFormula>
      <totalsRowFormula>SUBTOTAL(9,Flow3[Opening balance])</totalsRowFormula>
    </tableColumn>
    <tableColumn id="4" xr3:uid="{68B45315-EBDC-4607-A8A9-822D9C97927A}" name="Operations" totalsRowFunction="sum" dataDxfId="117" totalsRowDxfId="116">
      <calculatedColumnFormula>SUMIFS(operations[Amount],operations[Bank],Flow3[[#This Row],[Bank]],operations[Product],Flow3[[#This Row],[Product]],operations[Month],$B$11)</calculatedColumnFormula>
    </tableColumn>
    <tableColumn id="5" xr3:uid="{4F5A4B5C-BD3B-453B-BB9B-C3CC1270E2B7}" name="Closing balance" totalsRowFunction="sum" dataDxfId="115" totalsRowDxfId="114">
      <calculatedColumnFormula>Flow3[[#This Row],[Opening balance]]+Flow3[[#This Row],[Operations]]</calculatedColumnFormula>
    </tableColumn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A4BF7C-058A-461B-9216-F2D30BA9A240}" name="Incomes3" displayName="Incomes3" ref="G1:H8" totalsRowCount="1">
  <autoFilter ref="G1:H7" xr:uid="{659F4518-6159-4369-AA91-CF0A05C7468B}"/>
  <tableColumns count="2">
    <tableColumn id="1" xr3:uid="{16A45448-DECF-4566-B5EF-E3DF3622DAD0}" name="Category" totalsRowLabel="Total"/>
    <tableColumn id="2" xr3:uid="{09F11A00-1838-49CD-854C-47B467F445A0}" name="Total" totalsRowFunction="custom" dataDxfId="113" totalsRowDxfId="112">
      <calculatedColumnFormula>SUMIFS(operations[Amount], operations[Category], Incomes3[[#This Row],[Category]], operations[Month], $B$11)</calculatedColumnFormula>
      <totalsRowFormula>SUBTOTAL(9,Incomes3[Total])</totalsRowFormula>
    </tableColumn>
  </tableColumns>
  <tableStyleInfo name="TableStyleLight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FDDFE08-5DBE-4565-BC3B-A5A51E2064FF}" name="Expenses3" displayName="Expenses3" ref="J1:K11" totalsRowCount="1">
  <autoFilter ref="J1:K10" xr:uid="{0F882830-378E-4925-BD8B-BDADF3B60994}"/>
  <tableColumns count="2">
    <tableColumn id="1" xr3:uid="{E86B7A71-8F9B-40DB-B43D-58FB08867CEB}" name="Category" totalsRowLabel="Total"/>
    <tableColumn id="2" xr3:uid="{73EA3EE3-DEA3-4274-B1A7-70795654687F}" name="Total" totalsRowFunction="custom" dataDxfId="111" totalsRowDxfId="110">
      <calculatedColumnFormula>SUMIFS(operations[Amount], operations[Category], Expenses3[[#This Row],[Category]], operations[Month], $B$11)</calculatedColumnFormula>
      <totalsRowFormula>SUBTOTAL(9,Expenses3[Total])</totalsRowFormula>
    </tableColumn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05C781D-D3AE-428D-AD50-4B062294CAFD}" name="Total3" displayName="Total3" ref="A13:B17" totalsRowCount="1">
  <autoFilter ref="A13:B16" xr:uid="{9100B6B5-494E-4F4E-A38A-343BCA6B4023}"/>
  <tableColumns count="2">
    <tableColumn id="1" xr3:uid="{4B5DA16B-87E1-41E9-BC78-0E96F6FC3CA7}" name="Type" totalsRowLabel="Total"/>
    <tableColumn id="2" xr3:uid="{CA9FA418-82CF-4F4A-B031-9762F06D06D9}" name="Total" totalsRowFunction="custom" dataDxfId="109" totalsRowDxfId="108">
      <calculatedColumnFormula>SUMIFS(operations[Amount], operations[Type], Total3[[#This Row],[Type]], operations[Month], $B$11)</calculatedColumnFormula>
      <totalsRowFormula>SUBTOTAL(9,Total3[Total])</totalsRowFormula>
    </tableColumn>
  </tableColumns>
  <tableStyleInfo name="TableStyleLight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492EA27-89CB-4A64-84FA-57D5FBD5D1E7}" name="Flow4" displayName="Flow4" ref="A1:E9" totalsRowCount="1">
  <autoFilter ref="A1:E8" xr:uid="{D08145FA-2B31-4447-A365-BD5CF6F8B50D}"/>
  <tableColumns count="5">
    <tableColumn id="1" xr3:uid="{0A2A4332-7F9A-4089-9C24-AC99A2AABE8B}" name="Bank" totalsRowLabel="Total"/>
    <tableColumn id="2" xr3:uid="{924A15E3-BEBA-4073-85A6-34CA7FE8F260}" name="Product"/>
    <tableColumn id="3" xr3:uid="{7CE552AB-F5A9-434B-B1D3-A7D97CB3D6EE}" name="Opening balance" totalsRowFunction="custom" dataDxfId="107" totalsRowDxfId="106">
      <calculatedColumnFormula array="1">INDIRECT("Flow" &amp; $B$11-1 &amp; "[@[Closing balance]]")</calculatedColumnFormula>
      <totalsRowFormula>SUBTOTAL(9,Flow4[Opening balance])</totalsRowFormula>
    </tableColumn>
    <tableColumn id="4" xr3:uid="{C917CC15-C56D-4EAC-9480-0DAB698C62E0}" name="Operations" totalsRowFunction="sum" dataDxfId="105" totalsRowDxfId="104">
      <calculatedColumnFormula>SUMIFS(operations[Amount],operations[Bank],Flow4[[#This Row],[Bank]],operations[Product],Flow4[[#This Row],[Product]],operations[Month],$B$11)</calculatedColumnFormula>
    </tableColumn>
    <tableColumn id="5" xr3:uid="{D965BCAD-3D68-4941-A691-2568C6D29156}" name="Closing balance" totalsRowFunction="sum" dataDxfId="103" totalsRowDxfId="102">
      <calculatedColumnFormula>Flow4[[#This Row],[Opening balance]]+Flow4[[#This Row],[Operations]]</calculatedColumnFormula>
    </tableColumn>
  </tableColumns>
  <tableStyleInfo name="TableStyleLight1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B947CDB-1644-4D26-A41F-B1904593E36C}" name="Incomes4" displayName="Incomes4" ref="G1:H8" totalsRowCount="1">
  <autoFilter ref="G1:H7" xr:uid="{659F4518-6159-4369-AA91-CF0A05C7468B}"/>
  <tableColumns count="2">
    <tableColumn id="1" xr3:uid="{410F4F7D-C29D-48A9-9D09-0EDE3F2C836B}" name="Category" totalsRowLabel="Total"/>
    <tableColumn id="2" xr3:uid="{9B7DE9DC-6436-45F6-9760-0D78646121EA}" name="Total" totalsRowFunction="custom" dataDxfId="101" totalsRowDxfId="100">
      <calculatedColumnFormula>SUMIFS(operations[Amount], operations[Category], Incomes4[[#This Row],[Category]], operations[Month], $B$11)</calculatedColumnFormula>
      <totalsRowFormula>SUBTOTAL(9,Incomes4[Total])</totalsRowFormula>
    </tableColumn>
  </tableColumns>
  <tableStyleInfo name="TableStyleLight1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2D4AEB7-BDAF-4C7F-90C2-8A453BAF8579}" name="Expenses4" displayName="Expenses4" ref="J1:K11" totalsRowCount="1">
  <autoFilter ref="J1:K10" xr:uid="{0F882830-378E-4925-BD8B-BDADF3B60994}"/>
  <tableColumns count="2">
    <tableColumn id="1" xr3:uid="{1A7C83FC-B333-4CEF-B8F4-B18FA693771D}" name="Category" totalsRowLabel="Total"/>
    <tableColumn id="2" xr3:uid="{97A69D8E-B788-4DA6-83E7-4DC2C4B6EEB5}" name="Total" totalsRowFunction="custom" dataDxfId="99" totalsRowDxfId="98">
      <calculatedColumnFormula>SUMIFS(operations[Amount], operations[Category], Expenses4[[#This Row],[Category]], operations[Month], $B$11)</calculatedColumnFormula>
      <totalsRowFormula>SUBTOTAL(9,Expenses4[Total])</totalsRowFormula>
    </tableColumn>
  </tableColumns>
  <tableStyleInfo name="TableStyleLight1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2563A93-1D6F-49EA-8B60-5FD21F2C6017}" name="Total4" displayName="Total4" ref="A13:B17" totalsRowCount="1">
  <autoFilter ref="A13:B16" xr:uid="{9100B6B5-494E-4F4E-A38A-343BCA6B4023}"/>
  <tableColumns count="2">
    <tableColumn id="1" xr3:uid="{ADB4974D-3A00-4FE5-A2C3-FE8A91AA44D4}" name="Type" totalsRowLabel="Total"/>
    <tableColumn id="2" xr3:uid="{EE0383DC-796E-4813-AD12-43B4A002A5CA}" name="Total" totalsRowFunction="custom" dataDxfId="97" totalsRowDxfId="96">
      <calculatedColumnFormula>SUMIFS(operations[Amount], operations[Type], Total4[[#This Row],[Type]], operations[Month], $B$11)</calculatedColumnFormula>
      <totalsRowFormula>SUBTOTAL(9,Total4[Total])</totalsRowFormula>
    </tableColumn>
  </tableColumns>
  <tableStyleInfo name="TableStyleLight1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12DF7BA-324C-4DB3-ABF2-8A4894778405}" name="Flow5" displayName="Flow5" ref="A1:E9" totalsRowCount="1">
  <autoFilter ref="A1:E8" xr:uid="{D08145FA-2B31-4447-A365-BD5CF6F8B50D}"/>
  <tableColumns count="5">
    <tableColumn id="1" xr3:uid="{F9F883ED-757F-4CD9-A422-AD028995212B}" name="Bank" totalsRowLabel="Total"/>
    <tableColumn id="2" xr3:uid="{3C50A197-94DE-4307-8CF1-2386879EDD33}" name="Product"/>
    <tableColumn id="3" xr3:uid="{F77A4DC5-B320-4540-AD02-60309B1E04AE}" name="Opening balance" totalsRowFunction="custom" dataDxfId="95" totalsRowDxfId="94">
      <calculatedColumnFormula array="1">INDIRECT("Flow" &amp; $B$11-1 &amp; "[@[Closing balance]]")</calculatedColumnFormula>
      <totalsRowFormula>SUBTOTAL(9,Flow5[Opening balance])</totalsRowFormula>
    </tableColumn>
    <tableColumn id="4" xr3:uid="{BA96E1EB-7F41-46FC-B7E0-EE8FBE4CD335}" name="Operations" totalsRowFunction="sum" dataDxfId="93" totalsRowDxfId="92">
      <calculatedColumnFormula>SUMIFS(operations[Amount],operations[Bank],Flow5[[#This Row],[Bank]],operations[Product],Flow5[[#This Row],[Product]],operations[Month],$B$11)</calculatedColumnFormula>
    </tableColumn>
    <tableColumn id="5" xr3:uid="{5D386BB3-5DA1-4364-B325-9400DA465E7B}" name="Closing balance" totalsRowFunction="sum" dataDxfId="91" totalsRowDxfId="90">
      <calculatedColumnFormula>Flow5[[#This Row],[Opening balance]]+Flow5[[#This Row],[Operations]]</calculatedColumnFormula>
    </tableColumn>
  </tableColumns>
  <tableStyleInfo name="TableStyleLight1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D735457-CBEC-42B6-9CC5-23DF69D90C6E}" name="Incomes5" displayName="Incomes5" ref="G1:H8" totalsRowCount="1">
  <autoFilter ref="G1:H7" xr:uid="{659F4518-6159-4369-AA91-CF0A05C7468B}"/>
  <tableColumns count="2">
    <tableColumn id="1" xr3:uid="{9EBD0E30-2827-4500-8D58-9C2201B50036}" name="Category" totalsRowLabel="Total"/>
    <tableColumn id="2" xr3:uid="{E349F822-944B-4FB9-A098-35012B44ACF9}" name="Total" totalsRowFunction="custom" dataDxfId="89" totalsRowDxfId="88">
      <calculatedColumnFormula>SUMIFS(operations[Amount], operations[Category], Incomes5[[#This Row],[Category]], operations[Month], $B$11)</calculatedColumnFormula>
      <totalsRowFormula>SUBTOTAL(9,Incomes5[Total])</totalsRowFormula>
    </tableColumn>
  </tableColumns>
  <tableStyleInfo name="TableStyleLight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F1D4184-6D5C-465F-B55C-CF93CFF83F15}" name="Expenses5" displayName="Expenses5" ref="J1:K11" totalsRowCount="1">
  <autoFilter ref="J1:K10" xr:uid="{0F882830-378E-4925-BD8B-BDADF3B60994}"/>
  <tableColumns count="2">
    <tableColumn id="1" xr3:uid="{2CDAF609-C162-467F-8991-B7D787C9DB78}" name="Category" totalsRowLabel="Total"/>
    <tableColumn id="2" xr3:uid="{E4EA7C98-0BD7-427B-987C-79DE2E65D37E}" name="Total" totalsRowFunction="custom" dataDxfId="87" totalsRowDxfId="86">
      <calculatedColumnFormula>SUMIFS(operations[Amount], operations[Category], Expenses5[[#This Row],[Category]], operations[Month], $B$11)</calculatedColumnFormula>
      <totalsRowFormula>SUBTOTAL(9,Expenses5[Total])</totalsRowFormula>
    </tableColumn>
  </tableColumns>
  <tableStyleInfo name="TableStyleLight1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B5EB870-7035-47FD-9CA7-F81E160DD079}" name="Total5" displayName="Total5" ref="A13:B17" totalsRowCount="1">
  <autoFilter ref="A13:B16" xr:uid="{9100B6B5-494E-4F4E-A38A-343BCA6B4023}"/>
  <tableColumns count="2">
    <tableColumn id="1" xr3:uid="{BDF43473-96A0-40E7-BB14-828FF6EB029F}" name="Type" totalsRowLabel="Total"/>
    <tableColumn id="2" xr3:uid="{A8A5E2EE-D473-424D-A66C-CE0C845B4BC4}" name="Total" totalsRowFunction="custom" dataDxfId="85" totalsRowDxfId="84">
      <calculatedColumnFormula>SUMIFS(operations[Amount], operations[Type], Total5[[#This Row],[Type]], operations[Month], $B$11)</calculatedColumnFormula>
      <totalsRowFormula>SUBTOTAL(9,Total5[Total])</totalsRowFormula>
    </tableColumn>
  </tableColumns>
  <tableStyleInfo name="TableStyleLight1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092F689-1DFD-4FD8-B617-820C80333C40}" name="Flow6" displayName="Flow6" ref="A1:E9" totalsRowCount="1">
  <autoFilter ref="A1:E8" xr:uid="{D08145FA-2B31-4447-A365-BD5CF6F8B50D}"/>
  <tableColumns count="5">
    <tableColumn id="1" xr3:uid="{B524F5E4-83F9-40AB-82F0-16E01B1A8E64}" name="Bank" totalsRowLabel="Total"/>
    <tableColumn id="2" xr3:uid="{0C77B188-7ABD-4FCE-868C-8DE73A9B6541}" name="Product"/>
    <tableColumn id="3" xr3:uid="{90FAC7DD-1FC7-43F3-93C2-CFE4D8D6389F}" name="Opening balance" totalsRowFunction="custom" dataDxfId="83" totalsRowDxfId="82">
      <calculatedColumnFormula array="1">INDIRECT("Flow" &amp; $B$11-1 &amp; "[@[Closing balance]]")</calculatedColumnFormula>
      <totalsRowFormula>SUBTOTAL(9,Flow6[Opening balance])</totalsRowFormula>
    </tableColumn>
    <tableColumn id="4" xr3:uid="{BDF730D9-106D-4B06-8535-626E48A63089}" name="Operations" totalsRowFunction="sum" dataDxfId="81" totalsRowDxfId="80">
      <calculatedColumnFormula>SUMIFS(operations[Amount],operations[Bank],Flow6[[#This Row],[Bank]],operations[Product],Flow6[[#This Row],[Product]],operations[Month],$B$11)</calculatedColumnFormula>
    </tableColumn>
    <tableColumn id="5" xr3:uid="{AE3F9453-E585-431A-8CC7-64F66355BD30}" name="Closing balance" totalsRowFunction="sum" dataDxfId="79" totalsRowDxfId="78">
      <calculatedColumnFormula>Flow6[[#This Row],[Opening balance]]+Flow6[[#This Row],[Operations]]</calculatedColumnFormula>
    </tableColumn>
  </tableColumns>
  <tableStyleInfo name="TableStyleLight1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4FAE922-8D63-494B-9B26-99C2FC3D0210}" name="Incomes6" displayName="Incomes6" ref="G1:H8" totalsRowCount="1">
  <autoFilter ref="G1:H7" xr:uid="{659F4518-6159-4369-AA91-CF0A05C7468B}"/>
  <tableColumns count="2">
    <tableColumn id="1" xr3:uid="{B730861E-D72C-457D-B2C8-739330291D27}" name="Category" totalsRowLabel="Total"/>
    <tableColumn id="2" xr3:uid="{03BBFD6A-0CDF-4ECB-B39D-74FDD7D7FCF8}" name="Total" totalsRowFunction="custom" dataDxfId="77" totalsRowDxfId="76">
      <calculatedColumnFormula>SUMIFS(operations[Amount], operations[Category], Incomes6[[#This Row],[Category]], operations[Month], $B$11)</calculatedColumnFormula>
      <totalsRowFormula>SUBTOTAL(9,Incomes6[Total])</totalsRowFormula>
    </tableColumn>
  </tableColumns>
  <tableStyleInfo name="TableStyleLight1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D849972-A483-4B11-BCFB-81853A093E66}" name="Expenses6" displayName="Expenses6" ref="J1:K11" totalsRowCount="1">
  <autoFilter ref="J1:K10" xr:uid="{0F882830-378E-4925-BD8B-BDADF3B60994}"/>
  <tableColumns count="2">
    <tableColumn id="1" xr3:uid="{E211EDBC-73B7-4A14-BEC3-54E51D75FD4D}" name="Category" totalsRowLabel="Total"/>
    <tableColumn id="2" xr3:uid="{B1A9A6F6-59EF-4814-AEFD-7F20BB19CDBC}" name="Total" totalsRowFunction="custom" dataDxfId="75" totalsRowDxfId="74">
      <calculatedColumnFormula>SUMIFS(operations[Amount], operations[Category], Expenses6[[#This Row],[Category]], operations[Month], $B$11)</calculatedColumnFormula>
      <totalsRowFormula>SUBTOTAL(9,Expenses6[Total])</totalsRowFormula>
    </tableColumn>
  </tableColumns>
  <tableStyleInfo name="TableStyleLight1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06EB65E-CC1B-4F7F-94E0-6406D658036D}" name="Total6" displayName="Total6" ref="A13:B17" totalsRowCount="1">
  <autoFilter ref="A13:B16" xr:uid="{9100B6B5-494E-4F4E-A38A-343BCA6B4023}"/>
  <tableColumns count="2">
    <tableColumn id="1" xr3:uid="{6F30188C-112E-47D3-896F-5F710B15AD3A}" name="Type" totalsRowLabel="Total"/>
    <tableColumn id="2" xr3:uid="{4852D3C5-B90A-4815-9AFB-97694D3C97F6}" name="Total" totalsRowFunction="custom" dataDxfId="73" totalsRowDxfId="72">
      <calculatedColumnFormula>SUMIFS(operations[Amount], operations[Type], Total6[[#This Row],[Type]], operations[Month], $B$11)</calculatedColumnFormula>
      <totalsRowFormula>SUBTOTAL(9,Total6[Total])</totalsRowFormula>
    </tableColumn>
  </tableColumns>
  <tableStyleInfo name="TableStyleLight1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5E64224-1F1A-42BD-8999-372A24D65757}" name="Flow7" displayName="Flow7" ref="A1:E9" totalsRowCount="1">
  <autoFilter ref="A1:E8" xr:uid="{D08145FA-2B31-4447-A365-BD5CF6F8B50D}"/>
  <tableColumns count="5">
    <tableColumn id="1" xr3:uid="{008AA200-4098-46C6-92FC-04C9D0984FC3}" name="Bank" totalsRowLabel="Total"/>
    <tableColumn id="2" xr3:uid="{14403A98-D2F3-4002-9420-A83864894A3F}" name="Product"/>
    <tableColumn id="3" xr3:uid="{6CBAB8FB-1F50-46E4-9C26-7868D1DCDCBF}" name="Opening balance" totalsRowFunction="custom" dataDxfId="71" totalsRowDxfId="70">
      <calculatedColumnFormula array="1">INDIRECT("Flow" &amp; $B$11-1 &amp; "[@[Closing balance]]")</calculatedColumnFormula>
      <totalsRowFormula>SUBTOTAL(9,Flow7[Opening balance])</totalsRowFormula>
    </tableColumn>
    <tableColumn id="4" xr3:uid="{A86096C9-059E-4582-9740-03490243982F}" name="Operations" totalsRowFunction="sum" dataDxfId="69" totalsRowDxfId="68">
      <calculatedColumnFormula>SUMIFS(operations[Amount],operations[Bank],Flow7[[#This Row],[Bank]],operations[Product],Flow7[[#This Row],[Product]],operations[Month],$B$11)</calculatedColumnFormula>
    </tableColumn>
    <tableColumn id="5" xr3:uid="{4C55415C-E616-4819-9339-1C69BD208510}" name="Closing balance" totalsRowFunction="sum" dataDxfId="67" totalsRowDxfId="66">
      <calculatedColumnFormula>Flow7[[#This Row],[Opening balance]]+Flow7[[#This Row],[Operations]]</calculatedColumnFormula>
    </tableColumn>
  </tableColumns>
  <tableStyleInfo name="TableStyleLight1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3F4DEC7-D8DB-4146-B52E-662562055505}" name="Incomes7" displayName="Incomes7" ref="G1:H8" totalsRowCount="1">
  <autoFilter ref="G1:H7" xr:uid="{659F4518-6159-4369-AA91-CF0A05C7468B}"/>
  <tableColumns count="2">
    <tableColumn id="1" xr3:uid="{399821BF-0E54-4E83-8EB7-0DA2DC1151B8}" name="Category" totalsRowLabel="Total"/>
    <tableColumn id="2" xr3:uid="{C20E20D5-3315-4931-8287-F848CEB6ABEE}" name="Total" totalsRowFunction="custom" dataDxfId="65" totalsRowDxfId="64">
      <calculatedColumnFormula>SUMIFS(operations[Amount], operations[Category], Incomes7[[#This Row],[Category]], operations[Month], $B$11)</calculatedColumnFormula>
      <totalsRowFormula>SUBTOTAL(9,Incomes7[Total])</totalsRowFormula>
    </tableColumn>
  </tableColumns>
  <tableStyleInfo name="TableStyleLight1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A42BFD1-DBC6-405E-87F4-C03FE9956A4D}" name="Expenses7" displayName="Expenses7" ref="J1:K11" totalsRowCount="1">
  <autoFilter ref="J1:K10" xr:uid="{0F882830-378E-4925-BD8B-BDADF3B60994}"/>
  <tableColumns count="2">
    <tableColumn id="1" xr3:uid="{34D1CE14-C679-4C5A-8431-6D173375A2C1}" name="Category" totalsRowLabel="Total"/>
    <tableColumn id="2" xr3:uid="{5CC4D5FA-399A-4BA6-BB85-E10960856E9B}" name="Total" totalsRowFunction="custom" dataDxfId="63" totalsRowDxfId="62">
      <calculatedColumnFormula>SUMIFS(operations[Amount], operations[Category], Expenses7[[#This Row],[Category]], operations[Month], $B$11)</calculatedColumnFormula>
      <totalsRowFormula>SUBTOTAL(9,Expenses7[Total])</totalsRowFormula>
    </tableColumn>
  </tableColumns>
  <tableStyleInfo name="TableStyleLight1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201993E-C70E-4F73-978A-9CDBE5B024A3}" name="Total7" displayName="Total7" ref="A13:B17" totalsRowCount="1">
  <autoFilter ref="A13:B16" xr:uid="{9100B6B5-494E-4F4E-A38A-343BCA6B4023}"/>
  <tableColumns count="2">
    <tableColumn id="1" xr3:uid="{75DE651C-CE2E-4CD8-A43E-75D0EFF11831}" name="Type" totalsRowLabel="Total"/>
    <tableColumn id="2" xr3:uid="{DB110933-C4E4-4219-B605-38D84594192E}" name="Total" totalsRowFunction="custom" dataDxfId="61" totalsRowDxfId="60">
      <calculatedColumnFormula>SUMIFS(operations[Amount], operations[Type], Total7[[#This Row],[Type]], operations[Month], $B$11)</calculatedColumnFormula>
      <totalsRowFormula>SUBTOTAL(9,Total7[Total])</totalsRowFormula>
    </tableColumn>
  </tableColumns>
  <tableStyleInfo name="TableStyleLight10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8F51CE0-7B2A-46B4-9365-E025C9E76033}" name="Flow8" displayName="Flow8" ref="A1:E9" totalsRowCount="1">
  <autoFilter ref="A1:E8" xr:uid="{D08145FA-2B31-4447-A365-BD5CF6F8B50D}"/>
  <tableColumns count="5">
    <tableColumn id="1" xr3:uid="{92BF7AB4-D0FA-4C90-8035-F7C2214B3E16}" name="Bank" totalsRowLabel="Total"/>
    <tableColumn id="2" xr3:uid="{1E88CCA2-1E94-4C8F-A822-3D82BCD5D0B2}" name="Product"/>
    <tableColumn id="3" xr3:uid="{B67ACE88-1834-4914-8138-C250E4F2BFA2}" name="Opening balance" totalsRowFunction="custom" dataDxfId="59" totalsRowDxfId="58">
      <calculatedColumnFormula array="1">INDIRECT("Flow" &amp; $B$11-1 &amp; "[@[Closing balance]]")</calculatedColumnFormula>
      <totalsRowFormula>SUBTOTAL(9,Flow8[Opening balance])</totalsRowFormula>
    </tableColumn>
    <tableColumn id="4" xr3:uid="{C15186EA-35D0-4682-BC0C-2B76F8B3F4C4}" name="Operations" totalsRowFunction="sum" dataDxfId="57" totalsRowDxfId="56">
      <calculatedColumnFormula>SUMIFS(operations[Amount],operations[Bank],Flow8[[#This Row],[Bank]],operations[Product],Flow8[[#This Row],[Product]],operations[Month],$B$11)</calculatedColumnFormula>
    </tableColumn>
    <tableColumn id="5" xr3:uid="{DB63E524-BA11-439E-95C0-0C67C7EA8F43}" name="Closing balance" totalsRowFunction="sum" dataDxfId="55" totalsRowDxfId="54">
      <calculatedColumnFormula>Flow8[[#This Row],[Opening balance]]+Flow8[[#This Row],[Operations]]</calculatedColumnFormula>
    </tableColumn>
  </tableColumns>
  <tableStyleInfo name="TableStyleLight10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F2165D0-C7CD-418C-80BB-B2E1B3A79A89}" name="Incomes8" displayName="Incomes8" ref="G1:H8" totalsRowCount="1">
  <autoFilter ref="G1:H7" xr:uid="{659F4518-6159-4369-AA91-CF0A05C7468B}"/>
  <tableColumns count="2">
    <tableColumn id="1" xr3:uid="{01D9DC9D-4501-42F6-B002-212B86748157}" name="Category" totalsRowLabel="Total"/>
    <tableColumn id="2" xr3:uid="{D86AF341-ADEC-43BC-8B72-D8911ADB462B}" name="Total" totalsRowFunction="custom" dataDxfId="53" totalsRowDxfId="52">
      <calculatedColumnFormula>SUMIFS(operations[Amount], operations[Category], Incomes8[[#This Row],[Category]], operations[Month], $B$11)</calculatedColumnFormula>
      <totalsRowFormula>SUBTOTAL(9,Incomes8[Total])</totalsRowFormula>
    </tableColumn>
  </tableColumns>
  <tableStyleInfo name="TableStyleLight1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1CA3D78-C72C-4D36-A4A3-4303F9DBF67C}" name="Expenses8" displayName="Expenses8" ref="J1:K11" totalsRowCount="1">
  <autoFilter ref="J1:K10" xr:uid="{0F882830-378E-4925-BD8B-BDADF3B60994}"/>
  <tableColumns count="2">
    <tableColumn id="1" xr3:uid="{05C4854F-A71C-4250-BEE3-74EA20EA2B38}" name="Category" totalsRowLabel="Total"/>
    <tableColumn id="2" xr3:uid="{50EBF51A-A18D-4BCD-BC59-E66334090C6A}" name="Total" totalsRowFunction="custom" dataDxfId="51" totalsRowDxfId="50">
      <calculatedColumnFormula>SUMIFS(operations[Amount], operations[Category], Expenses8[[#This Row],[Category]], operations[Month], $B$11)</calculatedColumnFormula>
      <totalsRowFormula>SUBTOTAL(9,Expenses8[Total])</totalsRowFormula>
    </tableColumn>
  </tableColumns>
  <tableStyleInfo name="TableStyleLight1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5A17440-7110-44AF-B104-93C50BF656DD}" name="Total8" displayName="Total8" ref="A13:B17" totalsRowCount="1">
  <autoFilter ref="A13:B16" xr:uid="{9100B6B5-494E-4F4E-A38A-343BCA6B4023}"/>
  <tableColumns count="2">
    <tableColumn id="1" xr3:uid="{F5AFE125-5431-4E81-8970-882197796262}" name="Type" totalsRowLabel="Total"/>
    <tableColumn id="2" xr3:uid="{7AE1A73E-DF0A-4ECA-9239-F2E3A8C00D04}" name="Total" totalsRowFunction="custom" dataDxfId="49" totalsRowDxfId="48">
      <calculatedColumnFormula>SUMIFS(operations[Amount], operations[Type], Total8[[#This Row],[Type]], operations[Month], $B$11)</calculatedColumnFormula>
      <totalsRowFormula>SUBTOTAL(9,Total8[Total])</totalsRowFormula>
    </tableColumn>
  </tableColumns>
  <tableStyleInfo name="TableStyleLight1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9883E43-6E91-4E39-8DDF-24D2DB9D19BD}" name="Flow9" displayName="Flow9" ref="A1:E9" totalsRowCount="1">
  <autoFilter ref="A1:E8" xr:uid="{D08145FA-2B31-4447-A365-BD5CF6F8B50D}"/>
  <tableColumns count="5">
    <tableColumn id="1" xr3:uid="{CC75B004-C437-431F-BEFC-1B9FE6B7868F}" name="Bank" totalsRowLabel="Total"/>
    <tableColumn id="2" xr3:uid="{A11A5AE8-2CB3-4C1A-935F-86BB36C59E88}" name="Product"/>
    <tableColumn id="3" xr3:uid="{3705BD3B-1DFF-463E-94BE-C8C39ED7A697}" name="Opening balance" totalsRowFunction="custom" dataDxfId="47" totalsRowDxfId="46">
      <calculatedColumnFormula array="1">INDIRECT("Flow" &amp; $B$11-1 &amp; "[@[Closing balance]]")</calculatedColumnFormula>
      <totalsRowFormula>SUBTOTAL(9,Flow9[Opening balance])</totalsRowFormula>
    </tableColumn>
    <tableColumn id="4" xr3:uid="{3C1657F9-5996-470D-997B-DEE0B9DCFAAC}" name="Operations" totalsRowFunction="sum" dataDxfId="45" totalsRowDxfId="44">
      <calculatedColumnFormula>SUMIFS(operations[Amount],operations[Bank],Flow9[[#This Row],[Bank]],operations[Product],Flow9[[#This Row],[Product]],operations[Month],$B$11)</calculatedColumnFormula>
    </tableColumn>
    <tableColumn id="5" xr3:uid="{9E2CF6C9-96DA-400B-9624-6B5DBA2BB718}" name="Closing balance" totalsRowFunction="sum" dataDxfId="43" totalsRowDxfId="42">
      <calculatedColumnFormula>Flow9[[#This Row],[Opening balance]]+Flow9[[#This Row],[Operations]]</calculatedColumnFormula>
    </tableColumn>
  </tableColumns>
  <tableStyleInfo name="TableStyleLight1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7A2F777-6ED5-4211-81D8-29E57849A6C2}" name="Incomes9" displayName="Incomes9" ref="G1:H8" totalsRowCount="1">
  <autoFilter ref="G1:H7" xr:uid="{659F4518-6159-4369-AA91-CF0A05C7468B}"/>
  <tableColumns count="2">
    <tableColumn id="1" xr3:uid="{21B695A3-1D11-458D-8809-C4FC9F75A574}" name="Category" totalsRowLabel="Total"/>
    <tableColumn id="2" xr3:uid="{5185E4BB-750A-4B11-B753-71EF4F798302}" name="Total" totalsRowFunction="custom" dataDxfId="41" totalsRowDxfId="40">
      <calculatedColumnFormula>SUMIFS(operations[Amount], operations[Category], Incomes9[[#This Row],[Category]], operations[Month], $B$11)</calculatedColumnFormula>
      <totalsRowFormula>SUBTOTAL(9,Incomes9[Total])</totalsRowFormula>
    </tableColumn>
  </tableColumns>
  <tableStyleInfo name="TableStyleLight1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412A97F-524C-4319-985F-D1476AA6D3A8}" name="Expenses9" displayName="Expenses9" ref="J1:K11" totalsRowCount="1">
  <autoFilter ref="J1:K10" xr:uid="{0F882830-378E-4925-BD8B-BDADF3B60994}"/>
  <tableColumns count="2">
    <tableColumn id="1" xr3:uid="{DDA9A2DD-710E-4B2D-9898-834073916FAF}" name="Category" totalsRowLabel="Total"/>
    <tableColumn id="2" xr3:uid="{052F4050-1E10-44FC-811F-FD4DCEBC7990}" name="Total" totalsRowFunction="custom" dataDxfId="39" totalsRowDxfId="38">
      <calculatedColumnFormula>SUMIFS(operations[Amount], operations[Category], Expenses9[[#This Row],[Category]], operations[Month], $B$11)</calculatedColumnFormula>
      <totalsRowFormula>SUBTOTAL(9,Expenses9[Total])</totalsRowFormula>
    </tableColumn>
  </tableColumns>
  <tableStyleInfo name="TableStyleLight1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567EE9F-7CEC-48BB-B040-735644CE44EA}" name="Total9" displayName="Total9" ref="A13:B17" totalsRowCount="1">
  <autoFilter ref="A13:B16" xr:uid="{9100B6B5-494E-4F4E-A38A-343BCA6B4023}"/>
  <tableColumns count="2">
    <tableColumn id="1" xr3:uid="{B13FB4F8-7C80-4B28-A33A-5B4D0CB67FE1}" name="Type" totalsRowLabel="Total"/>
    <tableColumn id="2" xr3:uid="{48FED4E1-334F-44A7-B5EF-CCDABAEB8E23}" name="Total" totalsRowFunction="custom" dataDxfId="37" totalsRowDxfId="36">
      <calculatedColumnFormula>SUMIFS(operations[Amount], operations[Type], Total9[[#This Row],[Type]], operations[Month], $B$11)</calculatedColumnFormula>
      <totalsRowFormula>SUBTOTAL(9,Total9[Total])</totalsRowFormula>
    </tableColumn>
  </tableColumns>
  <tableStyleInfo name="TableStyleLight1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5E3CA0B-3527-40D2-B476-304857354A70}" name="Flow10" displayName="Flow10" ref="A1:E9" totalsRowCount="1">
  <autoFilter ref="A1:E8" xr:uid="{D08145FA-2B31-4447-A365-BD5CF6F8B50D}"/>
  <tableColumns count="5">
    <tableColumn id="1" xr3:uid="{1F2DA14A-36AC-4B03-9C29-2DD488E5EDF7}" name="Bank" totalsRowLabel="Total"/>
    <tableColumn id="2" xr3:uid="{364E6A46-8B74-4B5F-9D3B-2973743707B8}" name="Product"/>
    <tableColumn id="3" xr3:uid="{FC8B518C-B216-4B79-9560-177965469D3D}" name="Opening balance" totalsRowFunction="custom" dataDxfId="35" totalsRowDxfId="34">
      <calculatedColumnFormula array="1">INDIRECT("Flow" &amp; $B$11-1 &amp; "[@[Closing balance]]")</calculatedColumnFormula>
      <totalsRowFormula>SUBTOTAL(9,Flow10[Opening balance])</totalsRowFormula>
    </tableColumn>
    <tableColumn id="4" xr3:uid="{20DA0FA9-F081-48F7-8AAB-DEC8FCB8DB46}" name="Operations" totalsRowFunction="sum" dataDxfId="33" totalsRowDxfId="32">
      <calculatedColumnFormula>SUMIFS(operations[Amount],operations[Bank],Flow10[[#This Row],[Bank]],operations[Product],Flow10[[#This Row],[Product]],operations[Month],$B$11)</calculatedColumnFormula>
    </tableColumn>
    <tableColumn id="5" xr3:uid="{42A743D3-CD89-4776-B440-B277C826ABA8}" name="Closing balance" totalsRowFunction="sum" dataDxfId="31" totalsRowDxfId="30">
      <calculatedColumnFormula>Flow10[[#This Row],[Opening balance]]+Flow10[[#This Row],[Operations]]</calculatedColumnFormula>
    </tableColumn>
  </tableColumns>
  <tableStyleInfo name="TableStyleLight1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A1A6C93-896F-4C0B-B1CB-114398931DDC}" name="Incomes10" displayName="Incomes10" ref="G1:H8" totalsRowCount="1">
  <autoFilter ref="G1:H7" xr:uid="{659F4518-6159-4369-AA91-CF0A05C7468B}"/>
  <tableColumns count="2">
    <tableColumn id="1" xr3:uid="{80CE5690-BEB2-46B6-846E-44521F5868E6}" name="Category" totalsRowLabel="Total"/>
    <tableColumn id="2" xr3:uid="{A4383EB9-99C4-43F8-9882-76E7AB9F3990}" name="Total" totalsRowFunction="custom" dataDxfId="29" totalsRowDxfId="28">
      <calculatedColumnFormula>SUMIFS(operations[Amount], operations[Category], Incomes10[[#This Row],[Category]], operations[Month], $B$11)</calculatedColumnFormula>
      <totalsRowFormula>SUBTOTAL(9,Incomes10[Total])</totalsRowFormula>
    </tableColumn>
  </tableColumns>
  <tableStyleInfo name="TableStyleLight1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58EDD75-1D4F-48EB-8F75-A2411090D901}" name="Expenses10" displayName="Expenses10" ref="J1:K11" totalsRowCount="1">
  <autoFilter ref="J1:K10" xr:uid="{0F882830-378E-4925-BD8B-BDADF3B60994}"/>
  <tableColumns count="2">
    <tableColumn id="1" xr3:uid="{C23350B2-4304-4EDF-8A95-C4832659038C}" name="Category" totalsRowLabel="Total"/>
    <tableColumn id="2" xr3:uid="{CAA66257-0BAE-4219-AFAB-8E7437CAD62C}" name="Total" totalsRowFunction="custom" dataDxfId="27" totalsRowDxfId="26">
      <calculatedColumnFormula>SUMIFS(operations[Amount], operations[Category], Expenses10[[#This Row],[Category]], operations[Month], $B$11)</calculatedColumnFormula>
      <totalsRowFormula>SUBTOTAL(9,Expenses10[Total])</totalsRowFormula>
    </tableColumn>
  </tableColumns>
  <tableStyleInfo name="TableStyleLight10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B2E2646-D187-4702-8848-008F1E6B9833}" name="Total10" displayName="Total10" ref="A13:B17" totalsRowCount="1">
  <autoFilter ref="A13:B16" xr:uid="{9100B6B5-494E-4F4E-A38A-343BCA6B4023}"/>
  <tableColumns count="2">
    <tableColumn id="1" xr3:uid="{5D06268D-E673-43BA-87C6-EE849C9547E3}" name="Type" totalsRowLabel="Total"/>
    <tableColumn id="2" xr3:uid="{A2A1B960-EDA3-4B11-B02B-4FC645AAAA8C}" name="Total" totalsRowFunction="custom" dataDxfId="25" totalsRowDxfId="24">
      <calculatedColumnFormula>SUMIFS(operations[Amount], operations[Type], Total10[[#This Row],[Type]], operations[Month], $B$11)</calculatedColumnFormula>
      <totalsRowFormula>SUBTOTAL(9,Total10[Total])</totalsRowFormula>
    </tableColumn>
  </tableColumns>
  <tableStyleInfo name="TableStyleLight1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9034B6-AB1E-45ED-90D7-73CE978BC37B}" name="Flow11" displayName="Flow11" ref="A1:E9" totalsRowCount="1">
  <autoFilter ref="A1:E8" xr:uid="{D08145FA-2B31-4447-A365-BD5CF6F8B50D}"/>
  <tableColumns count="5">
    <tableColumn id="1" xr3:uid="{209C68A2-1D83-4BD8-99CD-364B6FCC95AB}" name="Bank" totalsRowLabel="Total"/>
    <tableColumn id="2" xr3:uid="{FAEBD852-22B3-4D70-9D30-864C9D65FAD1}" name="Product"/>
    <tableColumn id="3" xr3:uid="{613B9195-B283-4F31-8E6B-39457A4FBFC0}" name="Opening balance" totalsRowFunction="custom" dataDxfId="23" totalsRowDxfId="22">
      <calculatedColumnFormula array="1">INDIRECT("Flow" &amp; $B$11-1 &amp; "[@[Closing balance]]")</calculatedColumnFormula>
      <totalsRowFormula>SUBTOTAL(9,Flow11[Opening balance])</totalsRowFormula>
    </tableColumn>
    <tableColumn id="4" xr3:uid="{D01B2B02-3D95-4FFA-BE2B-282143C7C673}" name="Operations" totalsRowFunction="sum" dataDxfId="21" totalsRowDxfId="20">
      <calculatedColumnFormula>SUMIFS(operations[Amount],operations[Bank],Flow11[[#This Row],[Bank]],operations[Product],Flow11[[#This Row],[Product]],operations[Month],$B$11)</calculatedColumnFormula>
    </tableColumn>
    <tableColumn id="5" xr3:uid="{B9E679BA-A01C-485C-8346-B62CCA638A46}" name="Closing balance" totalsRowFunction="sum" dataDxfId="19" totalsRowDxfId="18">
      <calculatedColumnFormula>Flow11[[#This Row],[Opening balance]]+Flow11[[#This Row],[Operations]]</calculatedColumnFormula>
    </tableColumn>
  </tableColumns>
  <tableStyleInfo name="TableStyleLight10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FF9163B-CD1D-4886-9A5F-1AC908E0FE40}" name="Incomes11" displayName="Incomes11" ref="G1:H8" totalsRowCount="1">
  <autoFilter ref="G1:H7" xr:uid="{659F4518-6159-4369-AA91-CF0A05C7468B}"/>
  <tableColumns count="2">
    <tableColumn id="1" xr3:uid="{F3D45A2D-2CB2-4B99-A536-21F49D8D7519}" name="Category" totalsRowLabel="Total"/>
    <tableColumn id="2" xr3:uid="{D59768C2-3731-4239-8988-B6E6A45AFF0F}" name="Total" totalsRowFunction="custom" dataDxfId="17" totalsRowDxfId="16">
      <calculatedColumnFormula>SUMIFS(operations[Amount], operations[Category], Incomes11[[#This Row],[Category]], operations[Month], $B$11)</calculatedColumnFormula>
      <totalsRowFormula>SUBTOTAL(9,Incomes11[Total])</totalsRowFormula>
    </tableColumn>
  </tableColumns>
  <tableStyleInfo name="TableStyleLight10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27D1A0D-A328-470E-97F9-2D5EE4C77AA4}" name="Expenses11" displayName="Expenses11" ref="J1:K11" totalsRowCount="1">
  <autoFilter ref="J1:K10" xr:uid="{0F882830-378E-4925-BD8B-BDADF3B60994}"/>
  <tableColumns count="2">
    <tableColumn id="1" xr3:uid="{EBB30AE4-3CB2-4307-B346-2ECC18B5CD8A}" name="Category" totalsRowLabel="Total"/>
    <tableColumn id="2" xr3:uid="{6521149F-4F47-4C02-9CC6-41F10F6C523A}" name="Total" totalsRowFunction="custom" dataDxfId="15" totalsRowDxfId="14">
      <calculatedColumnFormula>SUMIFS(operations[Amount], operations[Category], Expenses11[[#This Row],[Category]], operations[Month], $B$11)</calculatedColumnFormula>
      <totalsRowFormula>SUBTOTAL(9,Expenses11[Total])</totalsRowFormula>
    </tableColumn>
  </tableColumns>
  <tableStyleInfo name="TableStyleLight1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2382512-8256-4E99-9A6F-95B346435C29}" name="Total11" displayName="Total11" ref="A13:B17" totalsRowCount="1">
  <autoFilter ref="A13:B16" xr:uid="{9100B6B5-494E-4F4E-A38A-343BCA6B4023}"/>
  <tableColumns count="2">
    <tableColumn id="1" xr3:uid="{A3AA1E1B-5030-4756-A08E-F8CF4F72272B}" name="Type" totalsRowLabel="Total"/>
    <tableColumn id="2" xr3:uid="{EB0B0187-106F-43AD-9ADA-29E02CDDE977}" name="Total" totalsRowFunction="custom" dataDxfId="13" totalsRowDxfId="12">
      <calculatedColumnFormula>SUMIFS(operations[Amount], operations[Type], Total11[[#This Row],[Type]], operations[Month], $B$11)</calculatedColumnFormula>
      <totalsRowFormula>SUBTOTAL(9,Total11[Total])</totalsRowFormula>
    </tableColumn>
  </tableColumns>
  <tableStyleInfo name="TableStyleLight1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5929877-E0B0-40B3-B39B-5C9EC9BF090F}" name="Flow12" displayName="Flow12" ref="A1:E9" totalsRowCount="1">
  <autoFilter ref="A1:E8" xr:uid="{D08145FA-2B31-4447-A365-BD5CF6F8B50D}"/>
  <tableColumns count="5">
    <tableColumn id="1" xr3:uid="{140A19EB-4440-4351-AAC3-5FB7C90B08F6}" name="Bank" totalsRowLabel="Total"/>
    <tableColumn id="2" xr3:uid="{B65CD190-68B6-4A9B-900F-01676B268648}" name="Product"/>
    <tableColumn id="3" xr3:uid="{37A41761-BDAC-49CC-84B6-FB4C4FE445D6}" name="Opening balance" totalsRowFunction="custom" dataDxfId="11" totalsRowDxfId="10">
      <calculatedColumnFormula array="1">INDIRECT("Flow" &amp; $B$11-1 &amp; "[@[Closing balance]]")</calculatedColumnFormula>
      <totalsRowFormula>SUBTOTAL(9,Flow12[Opening balance])</totalsRowFormula>
    </tableColumn>
    <tableColumn id="4" xr3:uid="{0358B10C-F0D2-4656-96A7-27457E550A3F}" name="Operations" totalsRowFunction="sum" dataDxfId="9" totalsRowDxfId="8">
      <calculatedColumnFormula>SUMIFS(operations[Amount],operations[Bank],Flow12[[#This Row],[Bank]],operations[Product],Flow12[[#This Row],[Product]],operations[Month],$B$11)</calculatedColumnFormula>
    </tableColumn>
    <tableColumn id="5" xr3:uid="{2F84D663-B14A-492F-9EDB-63BC03D15F7E}" name="Closing balance" totalsRowFunction="sum" dataDxfId="7" totalsRowDxfId="6">
      <calculatedColumnFormula>Flow12[[#This Row],[Opening balance]]+Flow12[[#This Row],[Operations]]</calculatedColumnFormula>
    </tableColumn>
  </tableColumns>
  <tableStyleInfo name="TableStyleLight1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7105E1CA-8F31-4432-9F3E-E3D0B9B00622}" name="Incomes12" displayName="Incomes12" ref="G1:H8" totalsRowCount="1">
  <autoFilter ref="G1:H7" xr:uid="{659F4518-6159-4369-AA91-CF0A05C7468B}"/>
  <tableColumns count="2">
    <tableColumn id="1" xr3:uid="{29549188-51C5-4E2F-BD5F-C5529499F074}" name="Category" totalsRowLabel="Total"/>
    <tableColumn id="2" xr3:uid="{7A2792B7-76DB-4FFA-B986-663DD8A3FEDA}" name="Total" totalsRowFunction="custom" dataDxfId="5" totalsRowDxfId="4">
      <calculatedColumnFormula>SUMIFS(operations[Amount], operations[Category], Incomes12[[#This Row],[Category]], operations[Month], $B$11)</calculatedColumnFormula>
      <totalsRowFormula>SUBTOTAL(9,Incomes12[Total])</totalsRowFormula>
    </tableColumn>
  </tableColumns>
  <tableStyleInfo name="TableStyleLight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DFE2346-E568-47AB-BC1B-7EE538729D5A}" name="Expenses12" displayName="Expenses12" ref="J1:K11" totalsRowCount="1">
  <autoFilter ref="J1:K10" xr:uid="{0F882830-378E-4925-BD8B-BDADF3B60994}"/>
  <tableColumns count="2">
    <tableColumn id="1" xr3:uid="{0C7FA5EF-E7A3-4A05-9D6E-01667F23CF51}" name="Category" totalsRowLabel="Total"/>
    <tableColumn id="2" xr3:uid="{BC5D82A6-FE81-46AA-A73D-8F9CFDDC10EF}" name="Total" totalsRowFunction="custom" dataDxfId="3" totalsRowDxfId="2">
      <calculatedColumnFormula>SUMIFS(operations[Amount], operations[Category], Expenses12[[#This Row],[Category]], operations[Month], $B$11)</calculatedColumnFormula>
      <totalsRowFormula>SUBTOTAL(9,Expenses12[Total])</totalsRowFormula>
    </tableColumn>
  </tableColumns>
  <tableStyleInfo name="TableStyleLight1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C025EE2-7161-4A24-B671-0AAC8B8A2989}" name="Total12" displayName="Total12" ref="A13:B17" totalsRowCount="1">
  <autoFilter ref="A13:B16" xr:uid="{9100B6B5-494E-4F4E-A38A-343BCA6B4023}"/>
  <tableColumns count="2">
    <tableColumn id="1" xr3:uid="{DC6164C2-1BB1-41B5-BA67-23EB1C567815}" name="Type" totalsRowLabel="Total"/>
    <tableColumn id="2" xr3:uid="{3F6DDC44-8EFC-4855-B9F2-4D4FB218A8F4}" name="Total" totalsRowFunction="custom" dataDxfId="1" totalsRowDxfId="0">
      <calculatedColumnFormula>SUMIFS(operations[Amount], operations[Type], Total12[[#This Row],[Type]], operations[Month], $B$11)</calculatedColumnFormula>
      <totalsRowFormula>SUBTOTAL(9,Total12[Total])</totalsRow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10.bin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11.bin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13.bin"/><Relationship Id="rId5" Type="http://schemas.openxmlformats.org/officeDocument/2006/relationships/table" Target="../tables/table51.xml"/><Relationship Id="rId4" Type="http://schemas.openxmlformats.org/officeDocument/2006/relationships/table" Target="../tables/table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9"/>
  <sheetViews>
    <sheetView tabSelected="1" topLeftCell="A193" workbookViewId="0">
      <selection activeCell="D176" sqref="D176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22.140625" customWidth="1"/>
    <col min="4" max="4" width="16" bestFit="1" customWidth="1"/>
    <col min="5" max="5" width="15.42578125" customWidth="1"/>
    <col min="6" max="6" width="11.28515625" bestFit="1" customWidth="1"/>
    <col min="7" max="7" width="13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_xlfn.XLOOKUP(operations[[#This Row],[Category]],name[Category], name[Type],"", 0, 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_xlfn.XLOOKUP(operations[[#This Row],[Category]],name[Category], name[Type],"", 0, 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_xlfn.XLOOKUP(operations[[#This Row],[Category]],name[Category], name[Type],"", 0, 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_xlfn.XLOOKUP(operations[[#This Row],[Category]],name[Category], name[Type],"", 0, 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_xlfn.XLOOKUP(operations[[#This Row],[Category]],name[Category], name[Type],"", 0, 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_xlfn.XLOOKUP(operations[[#This Row],[Category]],name[Category], name[Type],"", 0, 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_xlfn.XLOOKUP(operations[[#This Row],[Category]],name[Category], name[Type],"", 0, 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_xlfn.XLOOKUP(operations[[#This Row],[Category]],name[Category], name[Type],"", 0, 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_xlfn.XLOOKUP(operations[[#This Row],[Category]],name[Category], name[Type],"", 0, 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_xlfn.XLOOKUP(operations[[#This Row],[Category]],name[Category], name[Type],"", 0, 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_xlfn.XLOOKUP(operations[[#This Row],[Category]],name[Category], name[Type],"", 0, 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_xlfn.XLOOKUP(operations[[#This Row],[Category]],name[Category], name[Type],"", 0, 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_xlfn.XLOOKUP(operations[[#This Row],[Category]],name[Category], name[Type],"", 0, 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_xlfn.XLOOKUP(operations[[#This Row],[Category]],name[Category], name[Type],"", 0, 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Row],[Category]],name[Category], name[Type],"", 0, 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_xlfn.XLOOKUP(operations[[#This Row],[Category]],name[Category], name[Type],"", 0, 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_xlfn.XLOOKUP(operations[[#This Row],[Category]],name[Category], name[Type],"", 0, 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_xlfn.XLOOKUP(operations[[#This Row],[Category]],name[Category], name[Type],"", 0, 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_xlfn.XLOOKUP(operations[[#This Row],[Category]],name[Category], name[Type],"", 0, 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_xlfn.XLOOKUP(operations[[#This Row],[Category]],name[Category], name[Type],"", 0, 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_xlfn.XLOOKUP(operations[[#This Row],[Category]],name[Category], name[Type],"", 0, 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_xlfn.XLOOKUP(operations[[#This Row],[Category]],name[Category], name[Type],"", 0, 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_xlfn.XLOOKUP(operations[[#This Row],[Category]],name[Category], name[Type],"", 0, 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_xlfn.XLOOKUP(operations[[#This Row],[Category]],name[Category], name[Type],"", 0, 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_xlfn.XLOOKUP(operations[[#This Row],[Category]],name[Category], name[Type],"", 0, 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Row],[Category]],name[Category], name[Type],"", 0, 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_xlfn.XLOOKUP(operations[[#This Row],[Category]],name[Category], name[Type],"", 0, 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_xlfn.XLOOKUP(operations[[#This Row],[Category]],name[Category], name[Type],"", 0, 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_xlfn.XLOOKUP(operations[[#This Row],[Category]],name[Category], name[Type],"", 0, 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_xlfn.XLOOKUP(operations[[#This Row],[Category]],name[Category], name[Type],"", 0, 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_xlfn.XLOOKUP(operations[[#This Row],[Category]],name[Category], name[Type],"", 0, 1)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_xlfn.XLOOKUP(operations[[#This Row],[Category]],name[Category], name[Type],"", 0, 1)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Row],[Category]],name[Category], name[Type],"", 0, 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_xlfn.XLOOKUP(operations[[#This Row],[Category]],name[Category], name[Type],"", 0, 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_xlfn.XLOOKUP(operations[[#This Row],[Category]],name[Category], name[Type],"", 0, 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_xlfn.XLOOKUP(operations[[#This Row],[Category]],name[Category], name[Type],"", 0, 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_xlfn.XLOOKUP(operations[[#This Row],[Category]],name[Category], name[Type],"", 0, 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_xlfn.XLOOKUP(operations[[#This Row],[Category]],name[Category], name[Type],"", 0, 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_xlfn.XLOOKUP(operations[[#This Row],[Category]],name[Category], name[Type],"", 0, 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_xlfn.XLOOKUP(operations[[#This Row],[Category]],name[Category], name[Type],"", 0, 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_xlfn.XLOOKUP(operations[[#This Row],[Category]],name[Category], name[Type],"", 0, 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_xlfn.XLOOKUP(operations[[#This Row],[Category]],name[Category], name[Type],"", 0, 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_xlfn.XLOOKUP(operations[[#This Row],[Category]],name[Category], name[Type],"", 0, 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_xlfn.XLOOKUP(operations[[#This Row],[Category]],name[Category], name[Type],"", 0, 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_xlfn.XLOOKUP(operations[[#This Row],[Category]],name[Category], name[Type],"", 0, 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_xlfn.XLOOKUP(operations[[#This Row],[Category]],name[Category], name[Type],"", 0, 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_xlfn.XLOOKUP(operations[[#This Row],[Category]],name[Category], name[Type],"", 0, 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Row],[Category]],name[Category], name[Type],"", 0, 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_xlfn.XLOOKUP(operations[[#This Row],[Category]],name[Category], name[Type],"", 0, 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_xlfn.XLOOKUP(operations[[#This Row],[Category]],name[Category], name[Type],"", 0, 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_xlfn.XLOOKUP(operations[[#This Row],[Category]],name[Category], name[Type],"", 0, 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_xlfn.XLOOKUP(operations[[#This Row],[Category]],name[Category], name[Type],"", 0, 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_xlfn.XLOOKUP(operations[[#This Row],[Category]],name[Category], name[Type],"", 0, 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Row],[Category]],name[Category], name[Type],"", 0, 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_xlfn.XLOOKUP(operations[[#This Row],[Category]],name[Category], name[Type],"", 0, 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_xlfn.XLOOKUP(operations[[#This Row],[Category]],name[Category], name[Type],"", 0, 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_xlfn.XLOOKUP(operations[[#This Row],[Category]],name[Category], name[Type],"", 0, 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_xlfn.XLOOKUP(operations[[#This Row],[Category]],name[Category], name[Type],"", 0, 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_xlfn.XLOOKUP(operations[[#This Row],[Category]],name[Category], name[Type],"", 0, 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_xlfn.XLOOKUP(operations[[#This Row],[Category]],name[Category], name[Type],"", 0, 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_xlfn.XLOOKUP(operations[[#This Row],[Category]],name[Category], name[Type],"", 0, 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_xlfn.XLOOKUP(operations[[#This Row],[Category]],name[Category], name[Type],"", 0, 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_xlfn.XLOOKUP(operations[[#This Row],[Category]],name[Category], name[Type],"", 0, 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_xlfn.XLOOKUP(operations[[#This Row],[Category]],name[Category], name[Type],"", 0, 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_xlfn.XLOOKUP(operations[[#This Row],[Category]],name[Category], name[Type],"", 0, 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_xlfn.XLOOKUP(operations[[#This Row],[Category]],name[Category], name[Type],"", 0, 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_xlfn.XLOOKUP(operations[[#This Row],[Category]],name[Category], name[Type],"", 0, 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Row],[Category]],name[Category], name[Type],"", 0, 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_xlfn.XLOOKUP(operations[[#This Row],[Category]],name[Category], name[Type],"", 0, 1)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_xlfn.XLOOKUP(operations[[#This Row],[Category]],name[Category], name[Type],"", 0, 1)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_xlfn.XLOOKUP(operations[[#This Row],[Category]],name[Category], name[Type],"", 0, 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_xlfn.XLOOKUP(operations[[#This Row],[Category]],name[Category], name[Type],"", 0, 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_xlfn.XLOOKUP(operations[[#This Row],[Category]],name[Category], name[Type],"", 0, 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_xlfn.XLOOKUP(operations[[#This Row],[Category]],name[Category], name[Type],"", 0, 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_xlfn.XLOOKUP(operations[[#This Row],[Category]],name[Category], name[Type],"", 0, 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Row],[Category]],name[Category], name[Type],"", 0, 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_xlfn.XLOOKUP(operations[[#This Row],[Category]],name[Category], name[Type],"", 0, 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_xlfn.XLOOKUP(operations[[#This Row],[Category]],name[Category], name[Type],"", 0, 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_xlfn.XLOOKUP(operations[[#This Row],[Category]],name[Category], name[Type],"", 0, 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Row],[Category]],name[Category], name[Type],"", 0, 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_xlfn.XLOOKUP(operations[[#This Row],[Category]],name[Category], name[Type],"", 0, 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_xlfn.XLOOKUP(operations[[#This Row],[Category]],name[Category], name[Type],"", 0, 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_xlfn.XLOOKUP(operations[[#This Row],[Category]],name[Category], name[Type],"", 0, 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_xlfn.XLOOKUP(operations[[#This Row],[Category]],name[Category], name[Type],"", 0, 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_xlfn.XLOOKUP(operations[[#This Row],[Category]],name[Category], name[Type],"", 0, 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_xlfn.XLOOKUP(operations[[#This Row],[Category]],name[Category], name[Type],"", 0, 1)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_xlfn.XLOOKUP(operations[[#This Row],[Category]],name[Category], name[Type],"", 0, 1)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_xlfn.XLOOKUP(operations[[#This Row],[Category]],name[Category], name[Type],"", 0, 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_xlfn.XLOOKUP(operations[[#This Row],[Category]],name[Category], name[Type],"", 0, 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_xlfn.XLOOKUP(operations[[#This Row],[Category]],name[Category], name[Type],"", 0, 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_xlfn.XLOOKUP(operations[[#This Row],[Category]],name[Category], name[Type],"", 0, 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_xlfn.XLOOKUP(operations[[#This Row],[Category]],name[Category], name[Type],"", 0, 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_xlfn.XLOOKUP(operations[[#This Row],[Category]],name[Category], name[Type],"", 0, 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_xlfn.XLOOKUP(operations[[#This Row],[Category]],name[Category], name[Type],"", 0, 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_xlfn.XLOOKUP(operations[[#This Row],[Category]],name[Category], name[Type],"", 0, 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_xlfn.XLOOKUP(operations[[#This Row],[Category]],name[Category], name[Type],"", 0, 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_xlfn.XLOOKUP(operations[[#This Row],[Category]],name[Category], name[Type],"", 0, 1)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_xlfn.XLOOKUP(operations[[#This Row],[Category]],name[Category], name[Type],"", 0, 1)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_xlfn.XLOOKUP(operations[[#This Row],[Category]],name[Category], name[Type],"", 0, 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_xlfn.XLOOKUP(operations[[#This Row],[Category]],name[Category], name[Type],"", 0, 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_xlfn.XLOOKUP(operations[[#This Row],[Category]],name[Category], name[Type],"", 0, 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_xlfn.XLOOKUP(operations[[#This Row],[Category]],name[Category], name[Type],"", 0, 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_xlfn.XLOOKUP(operations[[#This Row],[Category]],name[Category], name[Type],"", 0, 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_xlfn.XLOOKUP(operations[[#This Row],[Category]],name[Category], name[Type],"", 0, 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_xlfn.XLOOKUP(operations[[#This Row],[Category]],name[Category], name[Type],"", 0, 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_xlfn.XLOOKUP(operations[[#This Row],[Category]],name[Category], name[Type],"", 0, 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Row],[Category]],name[Category], name[Type],"", 0, 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_xlfn.XLOOKUP(operations[[#This Row],[Category]],name[Category], name[Type],"", 0, 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_xlfn.XLOOKUP(operations[[#This Row],[Category]],name[Category], name[Type],"", 0, 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_xlfn.XLOOKUP(operations[[#This Row],[Category]],name[Category], name[Type],"", 0, 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_xlfn.XLOOKUP(operations[[#This Row],[Category]],name[Category], name[Type],"", 0, 1)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_xlfn.XLOOKUP(operations[[#This Row],[Category]],name[Category], name[Type],"", 0, 1)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_xlfn.XLOOKUP(operations[[#This Row],[Category]],name[Category], name[Type],"", 0, 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_xlfn.XLOOKUP(operations[[#This Row],[Category]],name[Category], name[Type],"", 0, 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_xlfn.XLOOKUP(operations[[#This Row],[Category]],name[Category], name[Type],"", 0, 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_xlfn.XLOOKUP(operations[[#This Row],[Category]],name[Category], name[Type],"", 0, 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_xlfn.XLOOKUP(operations[[#This Row],[Category]],name[Category], name[Type],"", 0, 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_xlfn.XLOOKUP(operations[[#This Row],[Category]],name[Category], name[Type],"", 0, 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_xlfn.XLOOKUP(operations[[#This Row],[Category]],name[Category], name[Type],"", 0, 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_xlfn.XLOOKUP(operations[[#This Row],[Category]],name[Category], name[Type],"", 0, 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_xlfn.XLOOKUP(operations[[#This Row],[Category]],name[Category], name[Type],"", 0, 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_xlfn.XLOOKUP(operations[[#This Row],[Category]],name[Category], name[Type],"", 0, 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_xlfn.XLOOKUP(operations[[#This Row],[Category]],name[Category], name[Type],"", 0, 1)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_xlfn.XLOOKUP(operations[[#This Row],[Category]],name[Category], name[Type],"", 0, 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_xlfn.XLOOKUP(operations[[#This Row],[Category]],name[Category], name[Type],"", 0, 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_xlfn.XLOOKUP(operations[[#This Row],[Category]],name[Category], name[Type],"", 0, 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_xlfn.XLOOKUP(operations[[#This Row],[Category]],name[Category], name[Type],"", 0, 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_xlfn.XLOOKUP(operations[[#This Row],[Category]],name[Category], name[Type],"", 0, 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_xlfn.XLOOKUP(operations[[#This Row],[Category]],name[Category], name[Type],"", 0, 1)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_xlfn.XLOOKUP(operations[[#This Row],[Category]],name[Category], name[Type],"", 0, 1)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_xlfn.XLOOKUP(operations[[#This Row],[Category]],name[Category], name[Type],"", 0, 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_xlfn.XLOOKUP(operations[[#This Row],[Category]],name[Category], name[Type],"", 0, 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_xlfn.XLOOKUP(operations[[#This Row],[Category]],name[Category], name[Type],"", 0, 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_xlfn.XLOOKUP(operations[[#This Row],[Category]],name[Category], name[Type],"", 0, 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_xlfn.XLOOKUP(operations[[#This Row],[Category]],name[Category], name[Type],"", 0, 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_xlfn.XLOOKUP(operations[[#This Row],[Category]],name[Category], name[Type],"", 0, 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_xlfn.XLOOKUP(operations[[#This Row],[Category]],name[Category], name[Type],"", 0, 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_xlfn.XLOOKUP(operations[[#This Row],[Category]],name[Category], name[Type],"", 0, 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_xlfn.XLOOKUP(operations[[#This Row],[Category]],name[Category], name[Type],"", 0, 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_xlfn.XLOOKUP(operations[[#This Row],[Category]],name[Category], name[Type],"", 0, 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_xlfn.XLOOKUP(operations[[#This Row],[Category]],name[Category], name[Type],"", 0, 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_xlfn.XLOOKUP(operations[[#This Row],[Category]],name[Category], name[Type],"", 0, 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_xlfn.XLOOKUP(operations[[#This Row],[Category]],name[Category], name[Type],"", 0, 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_xlfn.XLOOKUP(operations[[#This Row],[Category]],name[Category], name[Type],"", 0, 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_xlfn.XLOOKUP(operations[[#This Row],[Category]],name[Category], name[Type],"", 0, 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_xlfn.XLOOKUP(operations[[#This Row],[Category]],name[Category], name[Type],"", 0, 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_xlfn.XLOOKUP(operations[[#This Row],[Category]],name[Category], name[Type],"", 0, 1)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_xlfn.XLOOKUP(operations[[#This Row],[Category]],name[Category], name[Type],"", 0, 1)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_xlfn.XLOOKUP(operations[[#This Row],[Category]],name[Category], name[Type],"", 0, 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_xlfn.XLOOKUP(operations[[#This Row],[Category]],name[Category], name[Type],"", 0, 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_xlfn.XLOOKUP(operations[[#This Row],[Category]],name[Category], name[Type],"", 0, 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_xlfn.XLOOKUP(operations[[#This Row],[Category]],name[Category], name[Type],"", 0, 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_xlfn.XLOOKUP(operations[[#This Row],[Category]],name[Category], name[Type],"", 0, 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_xlfn.XLOOKUP(operations[[#This Row],[Category]],name[Category], name[Type],"", 0, 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_xlfn.XLOOKUP(operations[[#This Row],[Category]],name[Category], name[Type],"", 0, 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_xlfn.XLOOKUP(operations[[#This Row],[Category]],name[Category], name[Type],"", 0, 1)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_xlfn.XLOOKUP(operations[[#This Row],[Category]],name[Category], name[Type],"", 0, 1)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_xlfn.XLOOKUP(operations[[#This Row],[Category]],name[Category], name[Type],"", 0, 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_xlfn.XLOOKUP(operations[[#This Row],[Category]],name[Category], name[Type],"", 0, 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_xlfn.XLOOKUP(operations[[#This Row],[Category]],name[Category], name[Type],"", 0, 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_xlfn.XLOOKUP(operations[[#This Row],[Category]],name[Category], name[Type],"", 0, 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_xlfn.XLOOKUP(operations[[#This Row],[Category]],name[Category], name[Type],"", 0, 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Row],[Category]],name[Category], name[Type],"", 0, 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_xlfn.XLOOKUP(operations[[#This Row],[Category]],name[Category], name[Type],"", 0, 1)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_xlfn.XLOOKUP(operations[[#This Row],[Category]],name[Category], name[Type],"", 0, 1)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_xlfn.XLOOKUP(operations[[#This Row],[Category]],name[Category], name[Type],"", 0, 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_xlfn.XLOOKUP(operations[[#This Row],[Category]],name[Category], name[Type],"", 0, 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_xlfn.XLOOKUP(operations[[#This Row],[Category]],name[Category], name[Type],"", 0, 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_xlfn.XLOOKUP(operations[[#This Row],[Category]],name[Category], name[Type],"", 0, 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Row],[Category]],name[Category], name[Type],"", 0, 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_xlfn.XLOOKUP(operations[[#This Row],[Category]],name[Category], name[Type],"", 0, 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Row],[Category]],name[Category], name[Type],"", 0, 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_xlfn.XLOOKUP(operations[[#This Row],[Category]],name[Category], name[Type],"", 0, 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_xlfn.XLOOKUP(operations[[#This Row],[Category]],name[Category], name[Type],"", 0, 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_xlfn.XLOOKUP(operations[[#This Row],[Category]],name[Category], name[Type],"", 0, 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_xlfn.XLOOKUP(operations[[#This Row],[Category]],name[Category], name[Type],"", 0, 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Row],[Category]],name[Category], name[Type],"", 0, 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_xlfn.XLOOKUP(operations[[#This Row],[Category]],name[Category], name[Type],"", 0, 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_xlfn.XLOOKUP(operations[[#This Row],[Category]],name[Category], name[Type],"", 0, 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Row],[Category]],name[Category], name[Type],"", 0, 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_xlfn.XLOOKUP(operations[[#This Row],[Category]],name[Category], name[Type],"", 0, 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_xlfn.XLOOKUP(operations[[#This Row],[Category]],name[Category], name[Type],"", 0, 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_xlfn.XLOOKUP(operations[[#This Row],[Category]],name[Category], name[Type],"", 0, 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_xlfn.XLOOKUP(operations[[#This Row],[Category]],name[Category], name[Type],"", 0, 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_xlfn.XLOOKUP(operations[[#This Row],[Category]],name[Category], name[Type],"", 0, 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_xlfn.XLOOKUP(operations[[#This Row],[Category]],name[Category], name[Type],"", 0, 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_xlfn.XLOOKUP(operations[[#This Row],[Category]],name[Category], name[Type],"", 0, 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_xlfn.XLOOKUP(operations[[#This Row],[Category]],name[Category], name[Type],"", 0, 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Row],[Category]],name[Category], name[Type],"", 0, 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_xlfn.XLOOKUP(operations[[#This Row],[Category]],name[Category], name[Type],"", 0, 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_xlfn.XLOOKUP(operations[[#This Row],[Category]],name[Category], name[Type],"", 0, 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Row],[Category]],name[Category], name[Type],"", 0, 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Row],[Category]],name[Category], name[Type],"", 0, 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Row],[Category]],name[Category], name[Type],"", 0, 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_xlfn.XLOOKUP(operations[[#This Row],[Category]],name[Category], name[Type],"", 0, 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_xlfn.XLOOKUP(operations[[#This Row],[Category]],name[Category], name[Type],"", 0, 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_xlfn.XLOOKUP(operations[[#This Row],[Category]],name[Category], name[Type],"", 0, 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_xlfn.XLOOKUP(operations[[#This Row],[Category]],name[Category], name[Type],"", 0, 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Row],[Category]],name[Category], name[Type],"", 0, 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Row],[Category]],name[Category], name[Type],"", 0, 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_xlfn.XLOOKUP(operations[[#This Row],[Category]],name[Category], name[Type],"", 0, 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_xlfn.XLOOKUP(operations[[#This Row],[Category]],name[Category], name[Type],"", 0, 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_xlfn.XLOOKUP(operations[[#This Row],[Category]],name[Category], name[Type],"", 0, 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_xlfn.XLOOKUP(operations[[#This Row],[Category]],name[Category], name[Type],"", 0, 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_xlfn.XLOOKUP(operations[[#This Row],[Category]],name[Category], name[Type],"", 0, 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_xlfn.XLOOKUP(operations[[#This Row],[Category]],name[Category], name[Type],"", 0, 1)</f>
        <v>Expense</v>
      </c>
      <c r="F207" s="3">
        <v>45656</v>
      </c>
      <c r="G207" s="1">
        <f>MONTH(operations[[#This Row],[Date]])</f>
        <v>12</v>
      </c>
    </row>
    <row r="209" spans="1:1" x14ac:dyDescent="0.25">
      <c r="A209" s="20"/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7683A1-3E61-4991-AE88-659C1491DAE2}">
          <x14:formula1>
            <xm:f>Dictionary!$G$1:$I$1</xm:f>
          </x14:formula1>
          <xm:sqref>B1:B1048576</xm:sqref>
        </x14:dataValidation>
        <x14:dataValidation type="list" allowBlank="1" showInputMessage="1" showErrorMessage="1" xr:uid="{674888B9-1F7C-463E-8298-CCD7F825A0CA}">
          <x14:formula1>
            <xm:f>CHOOSE(MATCH(B2,Dictionary!$G$1:$I$1,0),_xlfn._TRO_TRAILING(Dictionary!$G$2:$G$8),_xlfn._TRO_TRAILING(Dictionary!$H$2:$H$8),_xlfn._TRO_TRAILING(Dictionary!$I$2:$I$8))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DB42-AEAF-4104-BB3B-345434C975C5}">
  <dimension ref="A1:I17"/>
  <sheetViews>
    <sheetView zoomScale="82" zoomScaleNormal="82" workbookViewId="0">
      <selection activeCell="F16" sqref="F16"/>
    </sheetView>
  </sheetViews>
  <sheetFormatPr defaultRowHeight="15" x14ac:dyDescent="0.25"/>
  <cols>
    <col min="1" max="1" width="22" customWidth="1"/>
    <col min="4" max="4" width="13.7109375" customWidth="1"/>
    <col min="5" max="5" width="19.5703125" customWidth="1"/>
    <col min="7" max="7" width="18.28515625" customWidth="1"/>
    <col min="8" max="8" width="20.140625" customWidth="1"/>
    <col min="9" max="9" width="12.7109375" customWidth="1"/>
  </cols>
  <sheetData>
    <row r="1" spans="1:9" x14ac:dyDescent="0.25">
      <c r="A1" t="s">
        <v>3</v>
      </c>
      <c r="B1" t="s">
        <v>4</v>
      </c>
      <c r="D1" s="1" t="s">
        <v>0</v>
      </c>
      <c r="E1" s="1" t="s">
        <v>2</v>
      </c>
      <c r="G1" s="7" t="s">
        <v>11</v>
      </c>
      <c r="H1" s="8" t="s">
        <v>7</v>
      </c>
      <c r="I1" s="9" t="s">
        <v>13</v>
      </c>
    </row>
    <row r="2" spans="1:9" x14ac:dyDescent="0.25">
      <c r="A2" s="1" t="s">
        <v>18</v>
      </c>
      <c r="B2" t="s">
        <v>32</v>
      </c>
      <c r="D2" s="1" t="s">
        <v>11</v>
      </c>
      <c r="E2" s="1" t="s">
        <v>8</v>
      </c>
      <c r="G2" s="10" t="s">
        <v>8</v>
      </c>
      <c r="H2" s="11" t="s">
        <v>8</v>
      </c>
      <c r="I2" s="12" t="s">
        <v>15</v>
      </c>
    </row>
    <row r="3" spans="1:9" x14ac:dyDescent="0.25">
      <c r="A3" s="1" t="s">
        <v>25</v>
      </c>
      <c r="B3" t="s">
        <v>33</v>
      </c>
      <c r="D3" s="1" t="s">
        <v>11</v>
      </c>
      <c r="E3" s="1" t="s">
        <v>12</v>
      </c>
      <c r="G3" s="10" t="s">
        <v>12</v>
      </c>
      <c r="H3" s="11" t="s">
        <v>9</v>
      </c>
      <c r="I3" s="12" t="s">
        <v>14</v>
      </c>
    </row>
    <row r="4" spans="1:9" x14ac:dyDescent="0.25">
      <c r="A4" s="1" t="s">
        <v>22</v>
      </c>
      <c r="B4" t="s">
        <v>32</v>
      </c>
      <c r="D4" s="1" t="s">
        <v>7</v>
      </c>
      <c r="E4" s="1" t="s">
        <v>8</v>
      </c>
      <c r="G4" s="13"/>
      <c r="H4" s="11" t="s">
        <v>10</v>
      </c>
      <c r="I4" s="14"/>
    </row>
    <row r="5" spans="1:9" x14ac:dyDescent="0.25">
      <c r="A5" s="1" t="s">
        <v>20</v>
      </c>
      <c r="B5" t="s">
        <v>32</v>
      </c>
      <c r="D5" s="1" t="s">
        <v>7</v>
      </c>
      <c r="E5" s="1" t="s">
        <v>9</v>
      </c>
      <c r="G5" s="13"/>
      <c r="H5" s="15"/>
      <c r="I5" s="14"/>
    </row>
    <row r="6" spans="1:9" x14ac:dyDescent="0.25">
      <c r="A6" s="1" t="s">
        <v>28</v>
      </c>
      <c r="B6" t="s">
        <v>33</v>
      </c>
      <c r="D6" s="1" t="s">
        <v>7</v>
      </c>
      <c r="E6" s="1" t="s">
        <v>10</v>
      </c>
      <c r="G6" s="13"/>
      <c r="H6" s="15"/>
      <c r="I6" s="14"/>
    </row>
    <row r="7" spans="1:9" x14ac:dyDescent="0.25">
      <c r="A7" s="1" t="s">
        <v>29</v>
      </c>
      <c r="B7" t="s">
        <v>33</v>
      </c>
      <c r="D7" s="1" t="s">
        <v>13</v>
      </c>
      <c r="E7" s="1" t="s">
        <v>15</v>
      </c>
      <c r="G7" s="13"/>
      <c r="H7" s="15"/>
      <c r="I7" s="14"/>
    </row>
    <row r="8" spans="1:9" ht="15.75" thickBot="1" x14ac:dyDescent="0.3">
      <c r="A8" s="1" t="s">
        <v>17</v>
      </c>
      <c r="B8" t="s">
        <v>32</v>
      </c>
      <c r="D8" s="1" t="s">
        <v>13</v>
      </c>
      <c r="E8" s="1" t="s">
        <v>14</v>
      </c>
      <c r="G8" s="16"/>
      <c r="H8" s="17"/>
      <c r="I8" s="18"/>
    </row>
    <row r="9" spans="1:9" x14ac:dyDescent="0.25">
      <c r="A9" s="1" t="s">
        <v>21</v>
      </c>
      <c r="B9" t="s">
        <v>32</v>
      </c>
    </row>
    <row r="10" spans="1:9" x14ac:dyDescent="0.25">
      <c r="A10" s="1" t="s">
        <v>19</v>
      </c>
      <c r="B10" t="s">
        <v>32</v>
      </c>
    </row>
    <row r="11" spans="1:9" x14ac:dyDescent="0.25">
      <c r="A11" s="1" t="s">
        <v>24</v>
      </c>
      <c r="B11" t="s">
        <v>32</v>
      </c>
    </row>
    <row r="12" spans="1:9" x14ac:dyDescent="0.25">
      <c r="A12" s="1" t="s">
        <v>30</v>
      </c>
      <c r="B12" t="s">
        <v>33</v>
      </c>
    </row>
    <row r="13" spans="1:9" x14ac:dyDescent="0.25">
      <c r="A13" s="1" t="s">
        <v>26</v>
      </c>
      <c r="B13" t="s">
        <v>33</v>
      </c>
    </row>
    <row r="14" spans="1:9" x14ac:dyDescent="0.25">
      <c r="A14" s="1" t="s">
        <v>27</v>
      </c>
      <c r="B14" t="s">
        <v>33</v>
      </c>
    </row>
    <row r="15" spans="1:9" x14ac:dyDescent="0.25">
      <c r="A15" s="1" t="s">
        <v>23</v>
      </c>
      <c r="B15" t="s">
        <v>32</v>
      </c>
    </row>
    <row r="16" spans="1:9" x14ac:dyDescent="0.25">
      <c r="A16" s="1" t="s">
        <v>31</v>
      </c>
      <c r="B16" t="s">
        <v>31</v>
      </c>
    </row>
    <row r="17" spans="1:2" x14ac:dyDescent="0.25">
      <c r="A17" s="1" t="s">
        <v>16</v>
      </c>
      <c r="B17" t="s">
        <v>32</v>
      </c>
    </row>
  </sheetData>
  <sortState xmlns:xlrd2="http://schemas.microsoft.com/office/spreadsheetml/2017/richdata2" ref="A2:B17">
    <sortCondition ref="A1:A17"/>
  </sortState>
  <dataValidations count="1">
    <dataValidation type="list" allowBlank="1" showInputMessage="1" showErrorMessage="1" sqref="B2:B17" xr:uid="{4DE2A8F4-9209-41DC-A95A-5A42714406A0}">
      <formula1>"Income, Expense, Transfer"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77F6-7D46-442B-B33F-C9C4A8E1A145}">
  <dimension ref="A1:K17"/>
  <sheetViews>
    <sheetView workbookViewId="0">
      <selection activeCell="F27" sqref="F27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>
        <v>100</v>
      </c>
      <c r="D2" s="4">
        <f ca="1">SUMIFS(operations[Amount],operations[Bank],Flow1[[#This Row],[Bank]],operations[Product],Flow1[[#This Row],[Product]],operations[Month],$B$11)</f>
        <v>0</v>
      </c>
      <c r="E2" s="4">
        <f ca="1">Flow1[[#This Row],[Opening balance]]+Flow1[[#This Row],[Operations]]</f>
        <v>100</v>
      </c>
      <c r="G2" t="s">
        <v>25</v>
      </c>
      <c r="H2" s="4">
        <f ca="1">SUMIFS(operations[Amount], operations[Category], Incomes1[[#This Row],[Category]], operations[Month], $B$11)</f>
        <v>0</v>
      </c>
      <c r="J2" t="s">
        <v>18</v>
      </c>
      <c r="K2" s="4">
        <f ca="1">SUMIFS(operations[Amount], operations[Category], Expenses1[[#This Row],[Category]], operations[Month], $B$11)</f>
        <v>0</v>
      </c>
    </row>
    <row r="3" spans="1:11" x14ac:dyDescent="0.25">
      <c r="A3" t="s">
        <v>11</v>
      </c>
      <c r="B3" t="s">
        <v>12</v>
      </c>
      <c r="C3" s="4">
        <v>10.5</v>
      </c>
      <c r="D3" s="4">
        <f ca="1">SUMIFS(operations[Amount],operations[Bank],Flow1[[#This Row],[Bank]],operations[Product],Flow1[[#This Row],[Product]],operations[Month],$B$11)</f>
        <v>0</v>
      </c>
      <c r="E3" s="4">
        <f ca="1">Flow1[[#This Row],[Opening balance]]+Flow1[[#This Row],[Operations]]</f>
        <v>10.5</v>
      </c>
      <c r="G3" t="s">
        <v>28</v>
      </c>
      <c r="H3" s="4">
        <f ca="1">SUMIFS(operations[Amount], operations[Category], Incomes1[[#This Row],[Category]], operations[Month], $B$11)</f>
        <v>0</v>
      </c>
      <c r="J3" t="s">
        <v>22</v>
      </c>
      <c r="K3" s="4">
        <f ca="1">SUMIFS(operations[Amount], operations[Category], Expenses1[[#This Row],[Category]], operations[Month], $B$11)</f>
        <v>0</v>
      </c>
    </row>
    <row r="4" spans="1:11" x14ac:dyDescent="0.25">
      <c r="A4" t="s">
        <v>7</v>
      </c>
      <c r="B4" t="s">
        <v>8</v>
      </c>
      <c r="C4" s="4">
        <v>600</v>
      </c>
      <c r="D4" s="4">
        <f ca="1">SUMIFS(operations[Amount],operations[Bank],Flow1[[#This Row],[Bank]],operations[Product],Flow1[[#This Row],[Product]],operations[Month],$B$11)</f>
        <v>0</v>
      </c>
      <c r="E4" s="4">
        <f ca="1">Flow1[[#This Row],[Opening balance]]+Flow1[[#This Row],[Operations]]</f>
        <v>600</v>
      </c>
      <c r="G4" t="s">
        <v>29</v>
      </c>
      <c r="H4" s="4">
        <f ca="1">SUMIFS(operations[Amount], operations[Category], Incomes1[[#This Row],[Category]], operations[Month], $B$11)</f>
        <v>0</v>
      </c>
      <c r="J4" t="s">
        <v>20</v>
      </c>
      <c r="K4" s="4">
        <f ca="1">SUMIFS(operations[Amount], operations[Category], Expenses1[[#This Row],[Category]], operations[Month], $B$11)</f>
        <v>0</v>
      </c>
    </row>
    <row r="5" spans="1:11" x14ac:dyDescent="0.25">
      <c r="A5" t="s">
        <v>7</v>
      </c>
      <c r="B5" t="s">
        <v>9</v>
      </c>
      <c r="C5" s="4">
        <v>0</v>
      </c>
      <c r="D5" s="4">
        <f ca="1">SUMIFS(operations[Amount],operations[Bank],Flow1[[#This Row],[Bank]],operations[Product],Flow1[[#This Row],[Product]],operations[Month],$B$11)</f>
        <v>0</v>
      </c>
      <c r="E5" s="4">
        <f ca="1">Flow1[[#This Row],[Opening balance]]+Flow1[[#This Row],[Operations]]</f>
        <v>0</v>
      </c>
      <c r="G5" t="s">
        <v>30</v>
      </c>
      <c r="H5" s="4">
        <f ca="1">SUMIFS(operations[Amount], operations[Category], Incomes1[[#This Row],[Category]], operations[Month], $B$11)</f>
        <v>0</v>
      </c>
      <c r="J5" t="s">
        <v>17</v>
      </c>
      <c r="K5" s="4">
        <f ca="1">SUMIFS(operations[Amount], operations[Category], Expenses1[[#This Row],[Category]], operations[Month], $B$11)</f>
        <v>0</v>
      </c>
    </row>
    <row r="6" spans="1:11" x14ac:dyDescent="0.25">
      <c r="A6" t="s">
        <v>7</v>
      </c>
      <c r="B6" t="s">
        <v>10</v>
      </c>
      <c r="C6" s="4">
        <v>2000</v>
      </c>
      <c r="D6" s="4">
        <f ca="1">SUMIFS(operations[Amount],operations[Bank],Flow1[[#This Row],[Bank]],operations[Product],Flow1[[#This Row],[Product]],operations[Month],$B$11)</f>
        <v>0</v>
      </c>
      <c r="E6" s="4">
        <f ca="1">Flow1[[#This Row],[Opening balance]]+Flow1[[#This Row],[Operations]]</f>
        <v>2000</v>
      </c>
      <c r="G6" t="s">
        <v>26</v>
      </c>
      <c r="H6" s="4">
        <f ca="1">SUMIFS(operations[Amount], operations[Category], Incomes1[[#This Row],[Category]], operations[Month], $B$11)</f>
        <v>0</v>
      </c>
      <c r="J6" t="s">
        <v>21</v>
      </c>
      <c r="K6" s="4">
        <f ca="1">SUMIFS(operations[Amount], operations[Category], Expenses1[[#This Row],[Category]], operations[Month], $B$11)</f>
        <v>0</v>
      </c>
    </row>
    <row r="7" spans="1:11" x14ac:dyDescent="0.25">
      <c r="A7" t="s">
        <v>13</v>
      </c>
      <c r="B7" t="s">
        <v>15</v>
      </c>
      <c r="C7" s="4">
        <v>200</v>
      </c>
      <c r="D7" s="4">
        <f ca="1">SUMIFS(operations[Amount],operations[Bank],Flow1[[#This Row],[Bank]],operations[Product],Flow1[[#This Row],[Product]],operations[Month],$B$11)</f>
        <v>0</v>
      </c>
      <c r="E7" s="4">
        <f ca="1">Flow1[[#This Row],[Opening balance]]+Flow1[[#This Row],[Operations]]</f>
        <v>200</v>
      </c>
      <c r="G7" t="s">
        <v>27</v>
      </c>
      <c r="H7" s="4">
        <f ca="1">SUMIFS(operations[Amount], operations[Category], Incomes1[[#This Row],[Category]], operations[Month], $B$11)</f>
        <v>0</v>
      </c>
      <c r="J7" t="s">
        <v>19</v>
      </c>
      <c r="K7" s="4">
        <f ca="1">SUMIFS(operations[Amount], operations[Category], Expenses1[[#This Row],[Category]], operations[Month], $B$11)</f>
        <v>0</v>
      </c>
    </row>
    <row r="8" spans="1:11" x14ac:dyDescent="0.25">
      <c r="A8" t="s">
        <v>13</v>
      </c>
      <c r="B8" t="s">
        <v>14</v>
      </c>
      <c r="C8" s="4">
        <v>30</v>
      </c>
      <c r="D8" s="4">
        <f ca="1">SUMIFS(operations[Amount],operations[Bank],Flow1[[#This Row],[Bank]],operations[Product],Flow1[[#This Row],[Product]],operations[Month],$B$11)</f>
        <v>0</v>
      </c>
      <c r="E8" s="4">
        <f ca="1">Flow1[[#This Row],[Opening balance]]+Flow1[[#This Row],[Operations]]</f>
        <v>30</v>
      </c>
      <c r="G8" t="s">
        <v>34</v>
      </c>
      <c r="H8" s="4">
        <f ca="1">SUBTOTAL(9,Incomes1[Total])</f>
        <v>0</v>
      </c>
      <c r="J8" t="s">
        <v>24</v>
      </c>
      <c r="K8" s="4">
        <f ca="1">SUMIFS(operations[Amount], operations[Category], Expenses1[[#This Row],[Category]], operations[Month], $B$11)</f>
        <v>0</v>
      </c>
    </row>
    <row r="9" spans="1:11" x14ac:dyDescent="0.25">
      <c r="A9" t="s">
        <v>34</v>
      </c>
      <c r="C9" s="4">
        <f>SUBTOTAL(9,Flow1[Opening balance])</f>
        <v>2940.5</v>
      </c>
      <c r="D9" s="4">
        <f ca="1">SUBTOTAL(109,Flow1[Operations])</f>
        <v>0</v>
      </c>
      <c r="E9" s="4">
        <f ca="1">SUBTOTAL(109,Flow1[Closing balance])</f>
        <v>2940.5</v>
      </c>
      <c r="J9" t="s">
        <v>23</v>
      </c>
      <c r="K9" s="4">
        <f ca="1">SUMIFS(operations[Amount], operations[Category], Expenses1[[#This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Expenses1[[#This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SUBTOTAL(9,Expenses1[Total])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Total1[[#This Row],[Type]], operations[Month], $B$11)</f>
        <v>0</v>
      </c>
    </row>
    <row r="15" spans="1:11" x14ac:dyDescent="0.25">
      <c r="A15" t="s">
        <v>33</v>
      </c>
      <c r="B15" s="4">
        <f ca="1">SUMIFS(operations[Amount], operations[Type], Total1[[#This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Total1[[#This Row],[Type]], operations[Month], $B$11)</f>
        <v>0</v>
      </c>
    </row>
    <row r="17" spans="1:2" x14ac:dyDescent="0.25">
      <c r="A17" t="s">
        <v>34</v>
      </c>
      <c r="B17" s="4">
        <f ca="1">SUBTOTAL(9,Total1[Total])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F904-1ED8-4559-B650-D2A592E41D03}">
  <dimension ref="A1:K17"/>
  <sheetViews>
    <sheetView workbookViewId="0">
      <selection activeCell="J10" sqref="J10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 t="e" cm="1" vm="2">
        <f t="array" aca="1" ref="C2" ca="1">INDIRECT("Flow" &amp; $B$11-1 &amp; "[@[Closing balance]]")</f>
        <v>#NAME?</v>
      </c>
      <c r="D2" s="4">
        <f ca="1">SUMIFS(operations[Amount],operations[Bank],Flow2[[#This Row],[Bank]],operations[Product],Flow2[[#This Row],[Product]],operations[Month],$B$11)</f>
        <v>0</v>
      </c>
      <c r="E2" s="4" t="e" vm="2">
        <f ca="1">Flow2[[#This Row],[Opening balance]]+Flow2[[#This Row],[Operations]]</f>
        <v>#NAME?</v>
      </c>
      <c r="G2" t="s">
        <v>25</v>
      </c>
      <c r="H2" s="4">
        <f ca="1">SUMIFS(operations[Amount], operations[Category], Incomes2[[#This Row],[Category]], operations[Month], $B$11)</f>
        <v>0</v>
      </c>
      <c r="J2" t="s">
        <v>18</v>
      </c>
      <c r="K2" s="4">
        <f ca="1">SUMIFS(operations[Amount], operations[Category], Expenses2[[#This Row],[Category]], operations[Month], $B$11)</f>
        <v>0</v>
      </c>
    </row>
    <row r="3" spans="1:11" x14ac:dyDescent="0.25">
      <c r="A3" t="s">
        <v>11</v>
      </c>
      <c r="B3" t="s">
        <v>12</v>
      </c>
      <c r="C3" s="4" t="e" cm="1" vm="2">
        <f t="array" aca="1" ref="C3" ca="1">INDIRECT("Flow" &amp; $B$11-1 &amp; "[@[Closing balance]]")</f>
        <v>#NAME?</v>
      </c>
      <c r="D3" s="4">
        <f ca="1">SUMIFS(operations[Amount],operations[Bank],Flow2[[#This Row],[Bank]],operations[Product],Flow2[[#This Row],[Product]],operations[Month],$B$11)</f>
        <v>0</v>
      </c>
      <c r="E3" s="4" t="e" vm="2">
        <f ca="1">Flow2[[#This Row],[Opening balance]]+Flow2[[#This Row],[Operations]]</f>
        <v>#NAME?</v>
      </c>
      <c r="G3" t="s">
        <v>28</v>
      </c>
      <c r="H3" s="4">
        <f ca="1">SUMIFS(operations[Amount], operations[Category], Incomes2[[#This Row],[Category]], operations[Month], $B$11)</f>
        <v>0</v>
      </c>
      <c r="J3" t="s">
        <v>22</v>
      </c>
      <c r="K3" s="4">
        <f ca="1">SUMIFS(operations[Amount], operations[Category], Expenses2[[#This Row],[Category]], operations[Month], $B$11)</f>
        <v>0</v>
      </c>
    </row>
    <row r="4" spans="1:11" x14ac:dyDescent="0.25">
      <c r="A4" t="s">
        <v>7</v>
      </c>
      <c r="B4" t="s">
        <v>8</v>
      </c>
      <c r="C4" s="4" t="e" cm="1" vm="2">
        <f t="array" aca="1" ref="C4" ca="1">INDIRECT("Flow" &amp; $B$11-1 &amp; "[@[Closing balance]]")</f>
        <v>#NAME?</v>
      </c>
      <c r="D4" s="4">
        <f ca="1">SUMIFS(operations[Amount],operations[Bank],Flow2[[#This Row],[Bank]],operations[Product],Flow2[[#This Row],[Product]],operations[Month],$B$11)</f>
        <v>0</v>
      </c>
      <c r="E4" s="4" t="e" vm="2">
        <f ca="1">Flow2[[#This Row],[Opening balance]]+Flow2[[#This Row],[Operations]]</f>
        <v>#NAME?</v>
      </c>
      <c r="G4" t="s">
        <v>29</v>
      </c>
      <c r="H4" s="4">
        <f ca="1">SUMIFS(operations[Amount], operations[Category], Incomes2[[#This Row],[Category]], operations[Month], $B$11)</f>
        <v>0</v>
      </c>
      <c r="J4" t="s">
        <v>20</v>
      </c>
      <c r="K4" s="4">
        <f ca="1">SUMIFS(operations[Amount], operations[Category], Expenses2[[#This Row],[Category]], operations[Month], $B$11)</f>
        <v>0</v>
      </c>
    </row>
    <row r="5" spans="1:11" x14ac:dyDescent="0.25">
      <c r="A5" t="s">
        <v>7</v>
      </c>
      <c r="B5" t="s">
        <v>9</v>
      </c>
      <c r="C5" s="4" t="e" cm="1" vm="2">
        <f t="array" aca="1" ref="C5" ca="1">INDIRECT("Flow" &amp; $B$11-1 &amp; "[@[Closing balance]]")</f>
        <v>#NAME?</v>
      </c>
      <c r="D5" s="4">
        <f ca="1">SUMIFS(operations[Amount],operations[Bank],Flow2[[#This Row],[Bank]],operations[Product],Flow2[[#This Row],[Product]],operations[Month],$B$11)</f>
        <v>0</v>
      </c>
      <c r="E5" s="4" t="e" vm="2">
        <f ca="1">Flow2[[#This Row],[Opening balance]]+Flow2[[#This Row],[Operations]]</f>
        <v>#NAME?</v>
      </c>
      <c r="G5" t="s">
        <v>30</v>
      </c>
      <c r="H5" s="4">
        <f ca="1">SUMIFS(operations[Amount], operations[Category], Incomes2[[#This Row],[Category]], operations[Month], $B$11)</f>
        <v>0</v>
      </c>
      <c r="J5" t="s">
        <v>17</v>
      </c>
      <c r="K5" s="4">
        <f ca="1">SUMIFS(operations[Amount], operations[Category], Expenses2[[#This Row],[Category]], operations[Month], $B$11)</f>
        <v>0</v>
      </c>
    </row>
    <row r="6" spans="1:11" x14ac:dyDescent="0.25">
      <c r="A6" t="s">
        <v>7</v>
      </c>
      <c r="B6" t="s">
        <v>10</v>
      </c>
      <c r="C6" s="4" t="e" cm="1" vm="2">
        <f t="array" aca="1" ref="C6" ca="1">INDIRECT("Flow" &amp; $B$11-1 &amp; "[@[Closing balance]]")</f>
        <v>#NAME?</v>
      </c>
      <c r="D6" s="4">
        <f ca="1">SUMIFS(operations[Amount],operations[Bank],Flow2[[#This Row],[Bank]],operations[Product],Flow2[[#This Row],[Product]],operations[Month],$B$11)</f>
        <v>0</v>
      </c>
      <c r="E6" s="4" t="e" vm="2">
        <f ca="1">Flow2[[#This Row],[Opening balance]]+Flow2[[#This Row],[Operations]]</f>
        <v>#NAME?</v>
      </c>
      <c r="G6" t="s">
        <v>26</v>
      </c>
      <c r="H6" s="4">
        <f ca="1">SUMIFS(operations[Amount], operations[Category], Incomes2[[#This Row],[Category]], operations[Month], $B$11)</f>
        <v>0</v>
      </c>
      <c r="J6" t="s">
        <v>21</v>
      </c>
      <c r="K6" s="4">
        <f ca="1">SUMIFS(operations[Amount], operations[Category], Expenses2[[#This Row],[Category]], operations[Month], $B$11)</f>
        <v>0</v>
      </c>
    </row>
    <row r="7" spans="1:11" x14ac:dyDescent="0.25">
      <c r="A7" t="s">
        <v>13</v>
      </c>
      <c r="B7" t="s">
        <v>15</v>
      </c>
      <c r="C7" s="4" t="e" cm="1" vm="2">
        <f t="array" aca="1" ref="C7" ca="1">INDIRECT("Flow" &amp; $B$11-1 &amp; "[@[Closing balance]]")</f>
        <v>#NAME?</v>
      </c>
      <c r="D7" s="4">
        <f ca="1">SUMIFS(operations[Amount],operations[Bank],Flow2[[#This Row],[Bank]],operations[Product],Flow2[[#This Row],[Product]],operations[Month],$B$11)</f>
        <v>0</v>
      </c>
      <c r="E7" s="4" t="e" vm="2">
        <f ca="1">Flow2[[#This Row],[Opening balance]]+Flow2[[#This Row],[Operations]]</f>
        <v>#NAME?</v>
      </c>
      <c r="G7" t="s">
        <v>27</v>
      </c>
      <c r="H7" s="4">
        <f ca="1">SUMIFS(operations[Amount], operations[Category], Incomes2[[#This Row],[Category]], operations[Month], $B$11)</f>
        <v>0</v>
      </c>
      <c r="J7" t="s">
        <v>19</v>
      </c>
      <c r="K7" s="4">
        <f ca="1">SUMIFS(operations[Amount], operations[Category], Expenses2[[#This Row],[Category]], operations[Month], $B$11)</f>
        <v>0</v>
      </c>
    </row>
    <row r="8" spans="1:11" x14ac:dyDescent="0.25">
      <c r="A8" t="s">
        <v>13</v>
      </c>
      <c r="B8" t="s">
        <v>14</v>
      </c>
      <c r="C8" s="4" t="e" cm="1" vm="2">
        <f t="array" aca="1" ref="C8" ca="1">INDIRECT("Flow" &amp; $B$11-1 &amp; "[@[Closing balance]]")</f>
        <v>#NAME?</v>
      </c>
      <c r="D8" s="4">
        <f ca="1">SUMIFS(operations[Amount],operations[Bank],Flow2[[#This Row],[Bank]],operations[Product],Flow2[[#This Row],[Product]],operations[Month],$B$11)</f>
        <v>0</v>
      </c>
      <c r="E8" s="4" t="e" vm="2">
        <f ca="1">Flow2[[#This Row],[Opening balance]]+Flow2[[#This Row],[Operations]]</f>
        <v>#NAME?</v>
      </c>
      <c r="G8" t="s">
        <v>34</v>
      </c>
      <c r="H8" s="4">
        <f ca="1">SUBTOTAL(9,Incomes2[Total])</f>
        <v>0</v>
      </c>
      <c r="J8" t="s">
        <v>24</v>
      </c>
      <c r="K8" s="4">
        <f ca="1">SUMIFS(operations[Amount], operations[Category], Expenses2[[#This Row],[Category]], operations[Month], $B$11)</f>
        <v>0</v>
      </c>
    </row>
    <row r="9" spans="1:11" x14ac:dyDescent="0.25">
      <c r="A9" t="s">
        <v>34</v>
      </c>
      <c r="C9" s="4" t="e" vm="2">
        <f ca="1">SUBTOTAL(9,Flow2[Opening balance])</f>
        <v>#NAME?</v>
      </c>
      <c r="D9" s="4">
        <f ca="1">SUBTOTAL(109,Flow2[Operations])</f>
        <v>0</v>
      </c>
      <c r="E9" s="4" t="e" vm="2">
        <f ca="1">SUBTOTAL(109,Flow2[Closing balance])</f>
        <v>#NAME?</v>
      </c>
      <c r="J9" t="s">
        <v>23</v>
      </c>
      <c r="K9" s="4">
        <f ca="1">SUMIFS(operations[Amount], operations[Category], Expenses2[[#This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Expenses2[[#This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SUBTOTAL(9,Expenses2[Total])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Total2[[#This Row],[Type]], operations[Month], $B$11)</f>
        <v>0</v>
      </c>
    </row>
    <row r="15" spans="1:11" x14ac:dyDescent="0.25">
      <c r="A15" t="s">
        <v>33</v>
      </c>
      <c r="B15" s="4">
        <f ca="1">SUMIFS(operations[Amount], operations[Type], Total2[[#This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Total2[[#This Row],[Type]], operations[Month], $B$11)</f>
        <v>0</v>
      </c>
    </row>
    <row r="17" spans="1:2" x14ac:dyDescent="0.25">
      <c r="A17" t="s">
        <v>34</v>
      </c>
      <c r="B17" s="4">
        <f ca="1">SUBTOTAL(9,Total2[Total])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C089B-4076-468E-8144-CD0C3F6E3DA5}">
  <dimension ref="A1:K17"/>
  <sheetViews>
    <sheetView workbookViewId="0">
      <selection activeCell="J10" sqref="J10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 t="e" cm="1" vm="2">
        <f t="array" aca="1" ref="C2" ca="1">INDIRECT("Flow" &amp; $B$11-1 &amp; "[@[Closing balance]]")</f>
        <v>#NAME?</v>
      </c>
      <c r="D2" s="4">
        <f ca="1">SUMIFS(operations[Amount],operations[Bank],Flow3[[#This Row],[Bank]],operations[Product],Flow3[[#This Row],[Product]],operations[Month],$B$11)</f>
        <v>0</v>
      </c>
      <c r="E2" s="4" t="e" vm="2">
        <f ca="1">Flow3[[#This Row],[Opening balance]]+Flow3[[#This Row],[Operations]]</f>
        <v>#NAME?</v>
      </c>
      <c r="G2" t="s">
        <v>25</v>
      </c>
      <c r="H2" s="4">
        <f ca="1">SUMIFS(operations[Amount], operations[Category], Incomes3[[#This Row],[Category]], operations[Month], $B$11)</f>
        <v>0</v>
      </c>
      <c r="J2" t="s">
        <v>18</v>
      </c>
      <c r="K2" s="4">
        <f ca="1">SUMIFS(operations[Amount], operations[Category], Expenses3[[#This Row],[Category]], operations[Month], $B$11)</f>
        <v>0</v>
      </c>
    </row>
    <row r="3" spans="1:11" x14ac:dyDescent="0.25">
      <c r="A3" t="s">
        <v>11</v>
      </c>
      <c r="B3" t="s">
        <v>12</v>
      </c>
      <c r="C3" s="4" t="e" cm="1" vm="2">
        <f t="array" aca="1" ref="C3" ca="1">INDIRECT("Flow" &amp; $B$11-1 &amp; "[@[Closing balance]]")</f>
        <v>#NAME?</v>
      </c>
      <c r="D3" s="4">
        <f ca="1">SUMIFS(operations[Amount],operations[Bank],Flow3[[#This Row],[Bank]],operations[Product],Flow3[[#This Row],[Product]],operations[Month],$B$11)</f>
        <v>0</v>
      </c>
      <c r="E3" s="4" t="e" vm="2">
        <f ca="1">Flow3[[#This Row],[Opening balance]]+Flow3[[#This Row],[Operations]]</f>
        <v>#NAME?</v>
      </c>
      <c r="G3" t="s">
        <v>28</v>
      </c>
      <c r="H3" s="4">
        <f ca="1">SUMIFS(operations[Amount], operations[Category], Incomes3[[#This Row],[Category]], operations[Month], $B$11)</f>
        <v>0</v>
      </c>
      <c r="J3" t="s">
        <v>22</v>
      </c>
      <c r="K3" s="4">
        <f ca="1">SUMIFS(operations[Amount], operations[Category], Expenses3[[#This Row],[Category]], operations[Month], $B$11)</f>
        <v>0</v>
      </c>
    </row>
    <row r="4" spans="1:11" x14ac:dyDescent="0.25">
      <c r="A4" t="s">
        <v>7</v>
      </c>
      <c r="B4" t="s">
        <v>8</v>
      </c>
      <c r="C4" s="4" t="e" cm="1" vm="2">
        <f t="array" aca="1" ref="C4" ca="1">INDIRECT("Flow" &amp; $B$11-1 &amp; "[@[Closing balance]]")</f>
        <v>#NAME?</v>
      </c>
      <c r="D4" s="4">
        <f ca="1">SUMIFS(operations[Amount],operations[Bank],Flow3[[#This Row],[Bank]],operations[Product],Flow3[[#This Row],[Product]],operations[Month],$B$11)</f>
        <v>0</v>
      </c>
      <c r="E4" s="4" t="e" vm="2">
        <f ca="1">Flow3[[#This Row],[Opening balance]]+Flow3[[#This Row],[Operations]]</f>
        <v>#NAME?</v>
      </c>
      <c r="G4" t="s">
        <v>29</v>
      </c>
      <c r="H4" s="4">
        <f ca="1">SUMIFS(operations[Amount], operations[Category], Incomes3[[#This Row],[Category]], operations[Month], $B$11)</f>
        <v>0</v>
      </c>
      <c r="J4" t="s">
        <v>20</v>
      </c>
      <c r="K4" s="4">
        <f ca="1">SUMIFS(operations[Amount], operations[Category], Expenses3[[#This Row],[Category]], operations[Month], $B$11)</f>
        <v>0</v>
      </c>
    </row>
    <row r="5" spans="1:11" x14ac:dyDescent="0.25">
      <c r="A5" t="s">
        <v>7</v>
      </c>
      <c r="B5" t="s">
        <v>9</v>
      </c>
      <c r="C5" s="4" t="e" cm="1" vm="2">
        <f t="array" aca="1" ref="C5" ca="1">INDIRECT("Flow" &amp; $B$11-1 &amp; "[@[Closing balance]]")</f>
        <v>#NAME?</v>
      </c>
      <c r="D5" s="4">
        <f ca="1">SUMIFS(operations[Amount],operations[Bank],Flow3[[#This Row],[Bank]],operations[Product],Flow3[[#This Row],[Product]],operations[Month],$B$11)</f>
        <v>0</v>
      </c>
      <c r="E5" s="4" t="e" vm="2">
        <f ca="1">Flow3[[#This Row],[Opening balance]]+Flow3[[#This Row],[Operations]]</f>
        <v>#NAME?</v>
      </c>
      <c r="G5" t="s">
        <v>30</v>
      </c>
      <c r="H5" s="4">
        <f ca="1">SUMIFS(operations[Amount], operations[Category], Incomes3[[#This Row],[Category]], operations[Month], $B$11)</f>
        <v>0</v>
      </c>
      <c r="J5" t="s">
        <v>17</v>
      </c>
      <c r="K5" s="4">
        <f ca="1">SUMIFS(operations[Amount], operations[Category], Expenses3[[#This Row],[Category]], operations[Month], $B$11)</f>
        <v>0</v>
      </c>
    </row>
    <row r="6" spans="1:11" x14ac:dyDescent="0.25">
      <c r="A6" t="s">
        <v>7</v>
      </c>
      <c r="B6" t="s">
        <v>10</v>
      </c>
      <c r="C6" s="4" t="e" cm="1" vm="2">
        <f t="array" aca="1" ref="C6" ca="1">INDIRECT("Flow" &amp; $B$11-1 &amp; "[@[Closing balance]]")</f>
        <v>#NAME?</v>
      </c>
      <c r="D6" s="4">
        <f ca="1">SUMIFS(operations[Amount],operations[Bank],Flow3[[#This Row],[Bank]],operations[Product],Flow3[[#This Row],[Product]],operations[Month],$B$11)</f>
        <v>0</v>
      </c>
      <c r="E6" s="4" t="e" vm="2">
        <f ca="1">Flow3[[#This Row],[Opening balance]]+Flow3[[#This Row],[Operations]]</f>
        <v>#NAME?</v>
      </c>
      <c r="G6" t="s">
        <v>26</v>
      </c>
      <c r="H6" s="4">
        <f ca="1">SUMIFS(operations[Amount], operations[Category], Incomes3[[#This Row],[Category]], operations[Month], $B$11)</f>
        <v>0</v>
      </c>
      <c r="J6" t="s">
        <v>21</v>
      </c>
      <c r="K6" s="4">
        <f ca="1">SUMIFS(operations[Amount], operations[Category], Expenses3[[#This Row],[Category]], operations[Month], $B$11)</f>
        <v>0</v>
      </c>
    </row>
    <row r="7" spans="1:11" x14ac:dyDescent="0.25">
      <c r="A7" t="s">
        <v>13</v>
      </c>
      <c r="B7" t="s">
        <v>15</v>
      </c>
      <c r="C7" s="4" t="e" cm="1" vm="2">
        <f t="array" aca="1" ref="C7" ca="1">INDIRECT("Flow" &amp; $B$11-1 &amp; "[@[Closing balance]]")</f>
        <v>#NAME?</v>
      </c>
      <c r="D7" s="4">
        <f ca="1">SUMIFS(operations[Amount],operations[Bank],Flow3[[#This Row],[Bank]],operations[Product],Flow3[[#This Row],[Product]],operations[Month],$B$11)</f>
        <v>0</v>
      </c>
      <c r="E7" s="4" t="e" vm="2">
        <f ca="1">Flow3[[#This Row],[Opening balance]]+Flow3[[#This Row],[Operations]]</f>
        <v>#NAME?</v>
      </c>
      <c r="G7" t="s">
        <v>27</v>
      </c>
      <c r="H7" s="4">
        <f ca="1">SUMIFS(operations[Amount], operations[Category], Incomes3[[#This Row],[Category]], operations[Month], $B$11)</f>
        <v>0</v>
      </c>
      <c r="J7" t="s">
        <v>19</v>
      </c>
      <c r="K7" s="4">
        <f ca="1">SUMIFS(operations[Amount], operations[Category], Expenses3[[#This Row],[Category]], operations[Month], $B$11)</f>
        <v>0</v>
      </c>
    </row>
    <row r="8" spans="1:11" x14ac:dyDescent="0.25">
      <c r="A8" t="s">
        <v>13</v>
      </c>
      <c r="B8" t="s">
        <v>14</v>
      </c>
      <c r="C8" s="4" t="e" cm="1" vm="2">
        <f t="array" aca="1" ref="C8" ca="1">INDIRECT("Flow" &amp; $B$11-1 &amp; "[@[Closing balance]]")</f>
        <v>#NAME?</v>
      </c>
      <c r="D8" s="4">
        <f ca="1">SUMIFS(operations[Amount],operations[Bank],Flow3[[#This Row],[Bank]],operations[Product],Flow3[[#This Row],[Product]],operations[Month],$B$11)</f>
        <v>0</v>
      </c>
      <c r="E8" s="4" t="e" vm="2">
        <f ca="1">Flow3[[#This Row],[Opening balance]]+Flow3[[#This Row],[Operations]]</f>
        <v>#NAME?</v>
      </c>
      <c r="G8" t="s">
        <v>34</v>
      </c>
      <c r="H8" s="4">
        <f ca="1">SUBTOTAL(9,Incomes3[Total])</f>
        <v>0</v>
      </c>
      <c r="J8" t="s">
        <v>24</v>
      </c>
      <c r="K8" s="4">
        <f ca="1">SUMIFS(operations[Amount], operations[Category], Expenses3[[#This Row],[Category]], operations[Month], $B$11)</f>
        <v>0</v>
      </c>
    </row>
    <row r="9" spans="1:11" x14ac:dyDescent="0.25">
      <c r="A9" t="s">
        <v>34</v>
      </c>
      <c r="C9" s="4" t="e" vm="2">
        <f ca="1">SUBTOTAL(9,Flow3[Opening balance])</f>
        <v>#NAME?</v>
      </c>
      <c r="D9" s="4">
        <f ca="1">SUBTOTAL(109,Flow3[Operations])</f>
        <v>0</v>
      </c>
      <c r="E9" s="4" t="e" vm="2">
        <f ca="1">SUBTOTAL(109,Flow3[Closing balance])</f>
        <v>#NAME?</v>
      </c>
      <c r="J9" t="s">
        <v>23</v>
      </c>
      <c r="K9" s="4">
        <f ca="1">SUMIFS(operations[Amount], operations[Category], Expenses3[[#This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Expenses3[[#This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SUBTOTAL(9,Expenses3[Total])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Total3[[#This Row],[Type]], operations[Month], $B$11)</f>
        <v>0</v>
      </c>
    </row>
    <row r="15" spans="1:11" x14ac:dyDescent="0.25">
      <c r="A15" t="s">
        <v>33</v>
      </c>
      <c r="B15" s="4">
        <f ca="1">SUMIFS(operations[Amount], operations[Type], Total3[[#This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Total3[[#This Row],[Type]], operations[Month], $B$11)</f>
        <v>0</v>
      </c>
    </row>
    <row r="17" spans="1:2" x14ac:dyDescent="0.25">
      <c r="A17" t="s">
        <v>34</v>
      </c>
      <c r="B17" s="4">
        <f ca="1">SUBTOTAL(9,Total3[Total])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F38A-6C03-44F2-8DFF-C20E6F4E56E2}">
  <dimension ref="A1:K17"/>
  <sheetViews>
    <sheetView workbookViewId="0">
      <selection activeCell="J10" sqref="J10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 t="e" cm="1" vm="2">
        <f t="array" aca="1" ref="C2" ca="1">INDIRECT("Flow" &amp; $B$11-1 &amp; "[@[Closing balance]]")</f>
        <v>#NAME?</v>
      </c>
      <c r="D2" s="4">
        <f ca="1">SUMIFS(operations[Amount],operations[Bank],Flow4[[#This Row],[Bank]],operations[Product],Flow4[[#This Row],[Product]],operations[Month],$B$11)</f>
        <v>0</v>
      </c>
      <c r="E2" s="4" t="e" vm="2">
        <f ca="1">Flow4[[#This Row],[Opening balance]]+Flow4[[#This Row],[Operations]]</f>
        <v>#NAME?</v>
      </c>
      <c r="G2" t="s">
        <v>25</v>
      </c>
      <c r="H2" s="4">
        <f ca="1">SUMIFS(operations[Amount], operations[Category], Incomes4[[#This Row],[Category]], operations[Month], $B$11)</f>
        <v>0</v>
      </c>
      <c r="J2" t="s">
        <v>18</v>
      </c>
      <c r="K2" s="4">
        <f ca="1">SUMIFS(operations[Amount], operations[Category], Expenses4[[#This Row],[Category]], operations[Month], $B$11)</f>
        <v>0</v>
      </c>
    </row>
    <row r="3" spans="1:11" x14ac:dyDescent="0.25">
      <c r="A3" t="s">
        <v>11</v>
      </c>
      <c r="B3" t="s">
        <v>12</v>
      </c>
      <c r="C3" s="4" t="e" cm="1" vm="2">
        <f t="array" aca="1" ref="C3" ca="1">INDIRECT("Flow" &amp; $B$11-1 &amp; "[@[Closing balance]]")</f>
        <v>#NAME?</v>
      </c>
      <c r="D3" s="4">
        <f ca="1">SUMIFS(operations[Amount],operations[Bank],Flow4[[#This Row],[Bank]],operations[Product],Flow4[[#This Row],[Product]],operations[Month],$B$11)</f>
        <v>0</v>
      </c>
      <c r="E3" s="4" t="e" vm="2">
        <f ca="1">Flow4[[#This Row],[Opening balance]]+Flow4[[#This Row],[Operations]]</f>
        <v>#NAME?</v>
      </c>
      <c r="G3" t="s">
        <v>28</v>
      </c>
      <c r="H3" s="4">
        <f ca="1">SUMIFS(operations[Amount], operations[Category], Incomes4[[#This Row],[Category]], operations[Month], $B$11)</f>
        <v>0</v>
      </c>
      <c r="J3" t="s">
        <v>22</v>
      </c>
      <c r="K3" s="4">
        <f ca="1">SUMIFS(operations[Amount], operations[Category], Expenses4[[#This Row],[Category]], operations[Month], $B$11)</f>
        <v>0</v>
      </c>
    </row>
    <row r="4" spans="1:11" x14ac:dyDescent="0.25">
      <c r="A4" t="s">
        <v>7</v>
      </c>
      <c r="B4" t="s">
        <v>8</v>
      </c>
      <c r="C4" s="4" t="e" cm="1" vm="2">
        <f t="array" aca="1" ref="C4" ca="1">INDIRECT("Flow" &amp; $B$11-1 &amp; "[@[Closing balance]]")</f>
        <v>#NAME?</v>
      </c>
      <c r="D4" s="4">
        <f ca="1">SUMIFS(operations[Amount],operations[Bank],Flow4[[#This Row],[Bank]],operations[Product],Flow4[[#This Row],[Product]],operations[Month],$B$11)</f>
        <v>0</v>
      </c>
      <c r="E4" s="4" t="e" vm="2">
        <f ca="1">Flow4[[#This Row],[Opening balance]]+Flow4[[#This Row],[Operations]]</f>
        <v>#NAME?</v>
      </c>
      <c r="G4" t="s">
        <v>29</v>
      </c>
      <c r="H4" s="4">
        <f ca="1">SUMIFS(operations[Amount], operations[Category], Incomes4[[#This Row],[Category]], operations[Month], $B$11)</f>
        <v>0</v>
      </c>
      <c r="J4" t="s">
        <v>20</v>
      </c>
      <c r="K4" s="4">
        <f ca="1">SUMIFS(operations[Amount], operations[Category], Expenses4[[#This Row],[Category]], operations[Month], $B$11)</f>
        <v>0</v>
      </c>
    </row>
    <row r="5" spans="1:11" x14ac:dyDescent="0.25">
      <c r="A5" t="s">
        <v>7</v>
      </c>
      <c r="B5" t="s">
        <v>9</v>
      </c>
      <c r="C5" s="4" t="e" cm="1" vm="2">
        <f t="array" aca="1" ref="C5" ca="1">INDIRECT("Flow" &amp; $B$11-1 &amp; "[@[Closing balance]]")</f>
        <v>#NAME?</v>
      </c>
      <c r="D5" s="4">
        <f ca="1">SUMIFS(operations[Amount],operations[Bank],Flow4[[#This Row],[Bank]],operations[Product],Flow4[[#This Row],[Product]],operations[Month],$B$11)</f>
        <v>0</v>
      </c>
      <c r="E5" s="4" t="e" vm="2">
        <f ca="1">Flow4[[#This Row],[Opening balance]]+Flow4[[#This Row],[Operations]]</f>
        <v>#NAME?</v>
      </c>
      <c r="G5" t="s">
        <v>30</v>
      </c>
      <c r="H5" s="4">
        <f ca="1">SUMIFS(operations[Amount], operations[Category], Incomes4[[#This Row],[Category]], operations[Month], $B$11)</f>
        <v>0</v>
      </c>
      <c r="J5" t="s">
        <v>17</v>
      </c>
      <c r="K5" s="4">
        <f ca="1">SUMIFS(operations[Amount], operations[Category], Expenses4[[#This Row],[Category]], operations[Month], $B$11)</f>
        <v>0</v>
      </c>
    </row>
    <row r="6" spans="1:11" x14ac:dyDescent="0.25">
      <c r="A6" t="s">
        <v>7</v>
      </c>
      <c r="B6" t="s">
        <v>10</v>
      </c>
      <c r="C6" s="4" t="e" cm="1" vm="2">
        <f t="array" aca="1" ref="C6" ca="1">INDIRECT("Flow" &amp; $B$11-1 &amp; "[@[Closing balance]]")</f>
        <v>#NAME?</v>
      </c>
      <c r="D6" s="4">
        <f ca="1">SUMIFS(operations[Amount],operations[Bank],Flow4[[#This Row],[Bank]],operations[Product],Flow4[[#This Row],[Product]],operations[Month],$B$11)</f>
        <v>0</v>
      </c>
      <c r="E6" s="4" t="e" vm="2">
        <f ca="1">Flow4[[#This Row],[Opening balance]]+Flow4[[#This Row],[Operations]]</f>
        <v>#NAME?</v>
      </c>
      <c r="G6" t="s">
        <v>26</v>
      </c>
      <c r="H6" s="4">
        <f ca="1">SUMIFS(operations[Amount], operations[Category], Incomes4[[#This Row],[Category]], operations[Month], $B$11)</f>
        <v>0</v>
      </c>
      <c r="J6" t="s">
        <v>21</v>
      </c>
      <c r="K6" s="4">
        <f ca="1">SUMIFS(operations[Amount], operations[Category], Expenses4[[#This Row],[Category]], operations[Month], $B$11)</f>
        <v>0</v>
      </c>
    </row>
    <row r="7" spans="1:11" x14ac:dyDescent="0.25">
      <c r="A7" t="s">
        <v>13</v>
      </c>
      <c r="B7" t="s">
        <v>15</v>
      </c>
      <c r="C7" s="4" t="e" cm="1" vm="2">
        <f t="array" aca="1" ref="C7" ca="1">INDIRECT("Flow" &amp; $B$11-1 &amp; "[@[Closing balance]]")</f>
        <v>#NAME?</v>
      </c>
      <c r="D7" s="4">
        <f ca="1">SUMIFS(operations[Amount],operations[Bank],Flow4[[#This Row],[Bank]],operations[Product],Flow4[[#This Row],[Product]],operations[Month],$B$11)</f>
        <v>0</v>
      </c>
      <c r="E7" s="4" t="e" vm="2">
        <f ca="1">Flow4[[#This Row],[Opening balance]]+Flow4[[#This Row],[Operations]]</f>
        <v>#NAME?</v>
      </c>
      <c r="G7" t="s">
        <v>27</v>
      </c>
      <c r="H7" s="4">
        <f ca="1">SUMIFS(operations[Amount], operations[Category], Incomes4[[#This Row],[Category]], operations[Month], $B$11)</f>
        <v>0</v>
      </c>
      <c r="J7" t="s">
        <v>19</v>
      </c>
      <c r="K7" s="4">
        <f ca="1">SUMIFS(operations[Amount], operations[Category], Expenses4[[#This Row],[Category]], operations[Month], $B$11)</f>
        <v>0</v>
      </c>
    </row>
    <row r="8" spans="1:11" x14ac:dyDescent="0.25">
      <c r="A8" t="s">
        <v>13</v>
      </c>
      <c r="B8" t="s">
        <v>14</v>
      </c>
      <c r="C8" s="4" t="e" cm="1" vm="2">
        <f t="array" aca="1" ref="C8" ca="1">INDIRECT("Flow" &amp; $B$11-1 &amp; "[@[Closing balance]]")</f>
        <v>#NAME?</v>
      </c>
      <c r="D8" s="4">
        <f ca="1">SUMIFS(operations[Amount],operations[Bank],Flow4[[#This Row],[Bank]],operations[Product],Flow4[[#This Row],[Product]],operations[Month],$B$11)</f>
        <v>0</v>
      </c>
      <c r="E8" s="4" t="e" vm="2">
        <f ca="1">Flow4[[#This Row],[Opening balance]]+Flow4[[#This Row],[Operations]]</f>
        <v>#NAME?</v>
      </c>
      <c r="G8" t="s">
        <v>34</v>
      </c>
      <c r="H8" s="4">
        <f ca="1">SUBTOTAL(9,Incomes4[Total])</f>
        <v>0</v>
      </c>
      <c r="J8" t="s">
        <v>24</v>
      </c>
      <c r="K8" s="4">
        <f ca="1">SUMIFS(operations[Amount], operations[Category], Expenses4[[#This Row],[Category]], operations[Month], $B$11)</f>
        <v>0</v>
      </c>
    </row>
    <row r="9" spans="1:11" x14ac:dyDescent="0.25">
      <c r="A9" t="s">
        <v>34</v>
      </c>
      <c r="C9" s="4" t="e" vm="2">
        <f ca="1">SUBTOTAL(9,Flow4[Opening balance])</f>
        <v>#NAME?</v>
      </c>
      <c r="D9" s="4">
        <f ca="1">SUBTOTAL(109,Flow4[Operations])</f>
        <v>0</v>
      </c>
      <c r="E9" s="4" t="e" vm="2">
        <f ca="1">SUBTOTAL(109,Flow4[Closing balance])</f>
        <v>#NAME?</v>
      </c>
      <c r="J9" t="s">
        <v>23</v>
      </c>
      <c r="K9" s="4">
        <f ca="1">SUMIFS(operations[Amount], operations[Category], Expenses4[[#This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Expenses4[[#This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SUBTOTAL(9,Expenses4[Total])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Total4[[#This Row],[Type]], operations[Month], $B$11)</f>
        <v>0</v>
      </c>
    </row>
    <row r="15" spans="1:11" x14ac:dyDescent="0.25">
      <c r="A15" t="s">
        <v>33</v>
      </c>
      <c r="B15" s="4">
        <f ca="1">SUMIFS(operations[Amount], operations[Type], Total4[[#This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Total4[[#This Row],[Type]], operations[Month], $B$11)</f>
        <v>0</v>
      </c>
    </row>
    <row r="17" spans="1:2" x14ac:dyDescent="0.25">
      <c r="A17" t="s">
        <v>34</v>
      </c>
      <c r="B17" s="4">
        <f ca="1">SUBTOTAL(9,Total4[Total])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12CD-3A9E-4F13-8CEF-B96F8E1C6746}">
  <dimension ref="A1:K17"/>
  <sheetViews>
    <sheetView workbookViewId="0">
      <selection activeCell="J10" sqref="J10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 t="e" cm="1" vm="2">
        <f t="array" aca="1" ref="C2" ca="1">INDIRECT("Flow" &amp; $B$11-1 &amp; "[@[Closing balance]]")</f>
        <v>#NAME?</v>
      </c>
      <c r="D2" s="4">
        <f ca="1">SUMIFS(operations[Amount],operations[Bank],Flow5[[#This Row],[Bank]],operations[Product],Flow5[[#This Row],[Product]],operations[Month],$B$11)</f>
        <v>0</v>
      </c>
      <c r="E2" s="4" t="e" vm="2">
        <f ca="1">Flow5[[#This Row],[Opening balance]]+Flow5[[#This Row],[Operations]]</f>
        <v>#NAME?</v>
      </c>
      <c r="G2" t="s">
        <v>25</v>
      </c>
      <c r="H2" s="4">
        <f ca="1">SUMIFS(operations[Amount], operations[Category], Incomes5[[#This Row],[Category]], operations[Month], $B$11)</f>
        <v>0</v>
      </c>
      <c r="J2" t="s">
        <v>18</v>
      </c>
      <c r="K2" s="4">
        <f ca="1">SUMIFS(operations[Amount], operations[Category], Expenses5[[#This Row],[Category]], operations[Month], $B$11)</f>
        <v>0</v>
      </c>
    </row>
    <row r="3" spans="1:11" x14ac:dyDescent="0.25">
      <c r="A3" t="s">
        <v>11</v>
      </c>
      <c r="B3" t="s">
        <v>12</v>
      </c>
      <c r="C3" s="4" t="e" cm="1" vm="2">
        <f t="array" aca="1" ref="C3" ca="1">INDIRECT("Flow" &amp; $B$11-1 &amp; "[@[Closing balance]]")</f>
        <v>#NAME?</v>
      </c>
      <c r="D3" s="4">
        <f ca="1">SUMIFS(operations[Amount],operations[Bank],Flow5[[#This Row],[Bank]],operations[Product],Flow5[[#This Row],[Product]],operations[Month],$B$11)</f>
        <v>0</v>
      </c>
      <c r="E3" s="4" t="e" vm="2">
        <f ca="1">Flow5[[#This Row],[Opening balance]]+Flow5[[#This Row],[Operations]]</f>
        <v>#NAME?</v>
      </c>
      <c r="G3" t="s">
        <v>28</v>
      </c>
      <c r="H3" s="4">
        <f ca="1">SUMIFS(operations[Amount], operations[Category], Incomes5[[#This Row],[Category]], operations[Month], $B$11)</f>
        <v>0</v>
      </c>
      <c r="J3" t="s">
        <v>22</v>
      </c>
      <c r="K3" s="4">
        <f ca="1">SUMIFS(operations[Amount], operations[Category], Expenses5[[#This Row],[Category]], operations[Month], $B$11)</f>
        <v>0</v>
      </c>
    </row>
    <row r="4" spans="1:11" x14ac:dyDescent="0.25">
      <c r="A4" t="s">
        <v>7</v>
      </c>
      <c r="B4" t="s">
        <v>8</v>
      </c>
      <c r="C4" s="4" t="e" cm="1" vm="2">
        <f t="array" aca="1" ref="C4" ca="1">INDIRECT("Flow" &amp; $B$11-1 &amp; "[@[Closing balance]]")</f>
        <v>#NAME?</v>
      </c>
      <c r="D4" s="4">
        <f ca="1">SUMIFS(operations[Amount],operations[Bank],Flow5[[#This Row],[Bank]],operations[Product],Flow5[[#This Row],[Product]],operations[Month],$B$11)</f>
        <v>0</v>
      </c>
      <c r="E4" s="4" t="e" vm="2">
        <f ca="1">Flow5[[#This Row],[Opening balance]]+Flow5[[#This Row],[Operations]]</f>
        <v>#NAME?</v>
      </c>
      <c r="G4" t="s">
        <v>29</v>
      </c>
      <c r="H4" s="4">
        <f ca="1">SUMIFS(operations[Amount], operations[Category], Incomes5[[#This Row],[Category]], operations[Month], $B$11)</f>
        <v>0</v>
      </c>
      <c r="J4" t="s">
        <v>20</v>
      </c>
      <c r="K4" s="4">
        <f ca="1">SUMIFS(operations[Amount], operations[Category], Expenses5[[#This Row],[Category]], operations[Month], $B$11)</f>
        <v>0</v>
      </c>
    </row>
    <row r="5" spans="1:11" x14ac:dyDescent="0.25">
      <c r="A5" t="s">
        <v>7</v>
      </c>
      <c r="B5" t="s">
        <v>9</v>
      </c>
      <c r="C5" s="4" t="e" cm="1" vm="2">
        <f t="array" aca="1" ref="C5" ca="1">INDIRECT("Flow" &amp; $B$11-1 &amp; "[@[Closing balance]]")</f>
        <v>#NAME?</v>
      </c>
      <c r="D5" s="4">
        <f ca="1">SUMIFS(operations[Amount],operations[Bank],Flow5[[#This Row],[Bank]],operations[Product],Flow5[[#This Row],[Product]],operations[Month],$B$11)</f>
        <v>0</v>
      </c>
      <c r="E5" s="4" t="e" vm="2">
        <f ca="1">Flow5[[#This Row],[Opening balance]]+Flow5[[#This Row],[Operations]]</f>
        <v>#NAME?</v>
      </c>
      <c r="G5" t="s">
        <v>30</v>
      </c>
      <c r="H5" s="4">
        <f ca="1">SUMIFS(operations[Amount], operations[Category], Incomes5[[#This Row],[Category]], operations[Month], $B$11)</f>
        <v>0</v>
      </c>
      <c r="J5" t="s">
        <v>17</v>
      </c>
      <c r="K5" s="4">
        <f ca="1">SUMIFS(operations[Amount], operations[Category], Expenses5[[#This Row],[Category]], operations[Month], $B$11)</f>
        <v>0</v>
      </c>
    </row>
    <row r="6" spans="1:11" x14ac:dyDescent="0.25">
      <c r="A6" t="s">
        <v>7</v>
      </c>
      <c r="B6" t="s">
        <v>10</v>
      </c>
      <c r="C6" s="4" t="e" cm="1" vm="2">
        <f t="array" aca="1" ref="C6" ca="1">INDIRECT("Flow" &amp; $B$11-1 &amp; "[@[Closing balance]]")</f>
        <v>#NAME?</v>
      </c>
      <c r="D6" s="4">
        <f ca="1">SUMIFS(operations[Amount],operations[Bank],Flow5[[#This Row],[Bank]],operations[Product],Flow5[[#This Row],[Product]],operations[Month],$B$11)</f>
        <v>0</v>
      </c>
      <c r="E6" s="4" t="e" vm="2">
        <f ca="1">Flow5[[#This Row],[Opening balance]]+Flow5[[#This Row],[Operations]]</f>
        <v>#NAME?</v>
      </c>
      <c r="G6" t="s">
        <v>26</v>
      </c>
      <c r="H6" s="4">
        <f ca="1">SUMIFS(operations[Amount], operations[Category], Incomes5[[#This Row],[Category]], operations[Month], $B$11)</f>
        <v>0</v>
      </c>
      <c r="J6" t="s">
        <v>21</v>
      </c>
      <c r="K6" s="4">
        <f ca="1">SUMIFS(operations[Amount], operations[Category], Expenses5[[#This Row],[Category]], operations[Month], $B$11)</f>
        <v>0</v>
      </c>
    </row>
    <row r="7" spans="1:11" x14ac:dyDescent="0.25">
      <c r="A7" t="s">
        <v>13</v>
      </c>
      <c r="B7" t="s">
        <v>15</v>
      </c>
      <c r="C7" s="4" t="e" cm="1" vm="2">
        <f t="array" aca="1" ref="C7" ca="1">INDIRECT("Flow" &amp; $B$11-1 &amp; "[@[Closing balance]]")</f>
        <v>#NAME?</v>
      </c>
      <c r="D7" s="4">
        <f ca="1">SUMIFS(operations[Amount],operations[Bank],Flow5[[#This Row],[Bank]],operations[Product],Flow5[[#This Row],[Product]],operations[Month],$B$11)</f>
        <v>0</v>
      </c>
      <c r="E7" s="4" t="e" vm="2">
        <f ca="1">Flow5[[#This Row],[Opening balance]]+Flow5[[#This Row],[Operations]]</f>
        <v>#NAME?</v>
      </c>
      <c r="G7" t="s">
        <v>27</v>
      </c>
      <c r="H7" s="4">
        <f ca="1">SUMIFS(operations[Amount], operations[Category], Incomes5[[#This Row],[Category]], operations[Month], $B$11)</f>
        <v>0</v>
      </c>
      <c r="J7" t="s">
        <v>19</v>
      </c>
      <c r="K7" s="4">
        <f ca="1">SUMIFS(operations[Amount], operations[Category], Expenses5[[#This Row],[Category]], operations[Month], $B$11)</f>
        <v>0</v>
      </c>
    </row>
    <row r="8" spans="1:11" x14ac:dyDescent="0.25">
      <c r="A8" t="s">
        <v>13</v>
      </c>
      <c r="B8" t="s">
        <v>14</v>
      </c>
      <c r="C8" s="4" t="e" cm="1" vm="2">
        <f t="array" aca="1" ref="C8" ca="1">INDIRECT("Flow" &amp; $B$11-1 &amp; "[@[Closing balance]]")</f>
        <v>#NAME?</v>
      </c>
      <c r="D8" s="4">
        <f ca="1">SUMIFS(operations[Amount],operations[Bank],Flow5[[#This Row],[Bank]],operations[Product],Flow5[[#This Row],[Product]],operations[Month],$B$11)</f>
        <v>0</v>
      </c>
      <c r="E8" s="4" t="e" vm="2">
        <f ca="1">Flow5[[#This Row],[Opening balance]]+Flow5[[#This Row],[Operations]]</f>
        <v>#NAME?</v>
      </c>
      <c r="G8" t="s">
        <v>34</v>
      </c>
      <c r="H8" s="4">
        <f ca="1">SUBTOTAL(9,Incomes5[Total])</f>
        <v>0</v>
      </c>
      <c r="J8" t="s">
        <v>24</v>
      </c>
      <c r="K8" s="4">
        <f ca="1">SUMIFS(operations[Amount], operations[Category], Expenses5[[#This Row],[Category]], operations[Month], $B$11)</f>
        <v>0</v>
      </c>
    </row>
    <row r="9" spans="1:11" x14ac:dyDescent="0.25">
      <c r="A9" t="s">
        <v>34</v>
      </c>
      <c r="C9" s="4" t="e" vm="2">
        <f ca="1">SUBTOTAL(9,Flow5[Opening balance])</f>
        <v>#NAME?</v>
      </c>
      <c r="D9" s="4">
        <f ca="1">SUBTOTAL(109,Flow5[Operations])</f>
        <v>0</v>
      </c>
      <c r="E9" s="4" t="e" vm="2">
        <f ca="1">SUBTOTAL(109,Flow5[Closing balance])</f>
        <v>#NAME?</v>
      </c>
      <c r="J9" t="s">
        <v>23</v>
      </c>
      <c r="K9" s="4">
        <f ca="1">SUMIFS(operations[Amount], operations[Category], Expenses5[[#This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Expenses5[[#This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SUBTOTAL(9,Expenses5[Total])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Total5[[#This Row],[Type]], operations[Month], $B$11)</f>
        <v>0</v>
      </c>
    </row>
    <row r="15" spans="1:11" x14ac:dyDescent="0.25">
      <c r="A15" t="s">
        <v>33</v>
      </c>
      <c r="B15" s="4">
        <f ca="1">SUMIFS(operations[Amount], operations[Type], Total5[[#This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Total5[[#This Row],[Type]], operations[Month], $B$11)</f>
        <v>0</v>
      </c>
    </row>
    <row r="17" spans="1:2" x14ac:dyDescent="0.25">
      <c r="A17" t="s">
        <v>34</v>
      </c>
      <c r="B17" s="4">
        <f ca="1">SUBTOTAL(9,Total5[Total])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5488-C537-4FED-8ED0-49A9F67C1A71}">
  <dimension ref="A1:K17"/>
  <sheetViews>
    <sheetView workbookViewId="0">
      <selection activeCell="J10" sqref="J10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 t="e" cm="1" vm="2">
        <f t="array" aca="1" ref="C2" ca="1">INDIRECT("Flow" &amp; $B$11-1 &amp; "[@[Closing balance]]")</f>
        <v>#NAME?</v>
      </c>
      <c r="D2" s="4">
        <f ca="1">SUMIFS(operations[Amount],operations[Bank],Flow6[[#This Row],[Bank]],operations[Product],Flow6[[#This Row],[Product]],operations[Month],$B$11)</f>
        <v>0</v>
      </c>
      <c r="E2" s="4" t="e" vm="2">
        <f ca="1">Flow6[[#This Row],[Opening balance]]+Flow6[[#This Row],[Operations]]</f>
        <v>#NAME?</v>
      </c>
      <c r="G2" t="s">
        <v>25</v>
      </c>
      <c r="H2" s="4">
        <f ca="1">SUMIFS(operations[Amount], operations[Category], Incomes6[[#This Row],[Category]], operations[Month], $B$11)</f>
        <v>0</v>
      </c>
      <c r="J2" t="s">
        <v>18</v>
      </c>
      <c r="K2" s="4">
        <f ca="1">SUMIFS(operations[Amount], operations[Category], Expenses6[[#This Row],[Category]], operations[Month], $B$11)</f>
        <v>0</v>
      </c>
    </row>
    <row r="3" spans="1:11" x14ac:dyDescent="0.25">
      <c r="A3" t="s">
        <v>11</v>
      </c>
      <c r="B3" t="s">
        <v>12</v>
      </c>
      <c r="C3" s="4" t="e" cm="1" vm="2">
        <f t="array" aca="1" ref="C3" ca="1">INDIRECT("Flow" &amp; $B$11-1 &amp; "[@[Closing balance]]")</f>
        <v>#NAME?</v>
      </c>
      <c r="D3" s="4">
        <f ca="1">SUMIFS(operations[Amount],operations[Bank],Flow6[[#This Row],[Bank]],operations[Product],Flow6[[#This Row],[Product]],operations[Month],$B$11)</f>
        <v>0</v>
      </c>
      <c r="E3" s="4" t="e" vm="2">
        <f ca="1">Flow6[[#This Row],[Opening balance]]+Flow6[[#This Row],[Operations]]</f>
        <v>#NAME?</v>
      </c>
      <c r="G3" t="s">
        <v>28</v>
      </c>
      <c r="H3" s="4">
        <f ca="1">SUMIFS(operations[Amount], operations[Category], Incomes6[[#This Row],[Category]], operations[Month], $B$11)</f>
        <v>0</v>
      </c>
      <c r="J3" t="s">
        <v>22</v>
      </c>
      <c r="K3" s="4">
        <f ca="1">SUMIFS(operations[Amount], operations[Category], Expenses6[[#This Row],[Category]], operations[Month], $B$11)</f>
        <v>0</v>
      </c>
    </row>
    <row r="4" spans="1:11" x14ac:dyDescent="0.25">
      <c r="A4" t="s">
        <v>7</v>
      </c>
      <c r="B4" t="s">
        <v>8</v>
      </c>
      <c r="C4" s="4" t="e" cm="1" vm="2">
        <f t="array" aca="1" ref="C4" ca="1">INDIRECT("Flow" &amp; $B$11-1 &amp; "[@[Closing balance]]")</f>
        <v>#NAME?</v>
      </c>
      <c r="D4" s="4">
        <f ca="1">SUMIFS(operations[Amount],operations[Bank],Flow6[[#This Row],[Bank]],operations[Product],Flow6[[#This Row],[Product]],operations[Month],$B$11)</f>
        <v>0</v>
      </c>
      <c r="E4" s="4" t="e" vm="2">
        <f ca="1">Flow6[[#This Row],[Opening balance]]+Flow6[[#This Row],[Operations]]</f>
        <v>#NAME?</v>
      </c>
      <c r="G4" t="s">
        <v>29</v>
      </c>
      <c r="H4" s="4">
        <f ca="1">SUMIFS(operations[Amount], operations[Category], Incomes6[[#This Row],[Category]], operations[Month], $B$11)</f>
        <v>0</v>
      </c>
      <c r="J4" t="s">
        <v>20</v>
      </c>
      <c r="K4" s="4">
        <f ca="1">SUMIFS(operations[Amount], operations[Category], Expenses6[[#This Row],[Category]], operations[Month], $B$11)</f>
        <v>0</v>
      </c>
    </row>
    <row r="5" spans="1:11" x14ac:dyDescent="0.25">
      <c r="A5" t="s">
        <v>7</v>
      </c>
      <c r="B5" t="s">
        <v>9</v>
      </c>
      <c r="C5" s="4" t="e" cm="1" vm="2">
        <f t="array" aca="1" ref="C5" ca="1">INDIRECT("Flow" &amp; $B$11-1 &amp; "[@[Closing balance]]")</f>
        <v>#NAME?</v>
      </c>
      <c r="D5" s="4">
        <f ca="1">SUMIFS(operations[Amount],operations[Bank],Flow6[[#This Row],[Bank]],operations[Product],Flow6[[#This Row],[Product]],operations[Month],$B$11)</f>
        <v>0</v>
      </c>
      <c r="E5" s="4" t="e" vm="2">
        <f ca="1">Flow6[[#This Row],[Opening balance]]+Flow6[[#This Row],[Operations]]</f>
        <v>#NAME?</v>
      </c>
      <c r="G5" t="s">
        <v>30</v>
      </c>
      <c r="H5" s="4">
        <f ca="1">SUMIFS(operations[Amount], operations[Category], Incomes6[[#This Row],[Category]], operations[Month], $B$11)</f>
        <v>0</v>
      </c>
      <c r="J5" t="s">
        <v>17</v>
      </c>
      <c r="K5" s="4">
        <f ca="1">SUMIFS(operations[Amount], operations[Category], Expenses6[[#This Row],[Category]], operations[Month], $B$11)</f>
        <v>0</v>
      </c>
    </row>
    <row r="6" spans="1:11" x14ac:dyDescent="0.25">
      <c r="A6" t="s">
        <v>7</v>
      </c>
      <c r="B6" t="s">
        <v>10</v>
      </c>
      <c r="C6" s="4" t="e" cm="1" vm="2">
        <f t="array" aca="1" ref="C6" ca="1">INDIRECT("Flow" &amp; $B$11-1 &amp; "[@[Closing balance]]")</f>
        <v>#NAME?</v>
      </c>
      <c r="D6" s="4">
        <f ca="1">SUMIFS(operations[Amount],operations[Bank],Flow6[[#This Row],[Bank]],operations[Product],Flow6[[#This Row],[Product]],operations[Month],$B$11)</f>
        <v>0</v>
      </c>
      <c r="E6" s="4" t="e" vm="2">
        <f ca="1">Flow6[[#This Row],[Opening balance]]+Flow6[[#This Row],[Operations]]</f>
        <v>#NAME?</v>
      </c>
      <c r="G6" t="s">
        <v>26</v>
      </c>
      <c r="H6" s="4">
        <f ca="1">SUMIFS(operations[Amount], operations[Category], Incomes6[[#This Row],[Category]], operations[Month], $B$11)</f>
        <v>0</v>
      </c>
      <c r="J6" t="s">
        <v>21</v>
      </c>
      <c r="K6" s="4">
        <f ca="1">SUMIFS(operations[Amount], operations[Category], Expenses6[[#This Row],[Category]], operations[Month], $B$11)</f>
        <v>0</v>
      </c>
    </row>
    <row r="7" spans="1:11" x14ac:dyDescent="0.25">
      <c r="A7" t="s">
        <v>13</v>
      </c>
      <c r="B7" t="s">
        <v>15</v>
      </c>
      <c r="C7" s="4" t="e" cm="1" vm="2">
        <f t="array" aca="1" ref="C7" ca="1">INDIRECT("Flow" &amp; $B$11-1 &amp; "[@[Closing balance]]")</f>
        <v>#NAME?</v>
      </c>
      <c r="D7" s="4">
        <f ca="1">SUMIFS(operations[Amount],operations[Bank],Flow6[[#This Row],[Bank]],operations[Product],Flow6[[#This Row],[Product]],operations[Month],$B$11)</f>
        <v>0</v>
      </c>
      <c r="E7" s="4" t="e" vm="2">
        <f ca="1">Flow6[[#This Row],[Opening balance]]+Flow6[[#This Row],[Operations]]</f>
        <v>#NAME?</v>
      </c>
      <c r="G7" t="s">
        <v>27</v>
      </c>
      <c r="H7" s="4">
        <f ca="1">SUMIFS(operations[Amount], operations[Category], Incomes6[[#This Row],[Category]], operations[Month], $B$11)</f>
        <v>0</v>
      </c>
      <c r="J7" t="s">
        <v>19</v>
      </c>
      <c r="K7" s="4">
        <f ca="1">SUMIFS(operations[Amount], operations[Category], Expenses6[[#This Row],[Category]], operations[Month], $B$11)</f>
        <v>0</v>
      </c>
    </row>
    <row r="8" spans="1:11" x14ac:dyDescent="0.25">
      <c r="A8" t="s">
        <v>13</v>
      </c>
      <c r="B8" t="s">
        <v>14</v>
      </c>
      <c r="C8" s="4" t="e" cm="1" vm="2">
        <f t="array" aca="1" ref="C8" ca="1">INDIRECT("Flow" &amp; $B$11-1 &amp; "[@[Closing balance]]")</f>
        <v>#NAME?</v>
      </c>
      <c r="D8" s="4">
        <f ca="1">SUMIFS(operations[Amount],operations[Bank],Flow6[[#This Row],[Bank]],operations[Product],Flow6[[#This Row],[Product]],operations[Month],$B$11)</f>
        <v>0</v>
      </c>
      <c r="E8" s="4" t="e" vm="2">
        <f ca="1">Flow6[[#This Row],[Opening balance]]+Flow6[[#This Row],[Operations]]</f>
        <v>#NAME?</v>
      </c>
      <c r="G8" t="s">
        <v>34</v>
      </c>
      <c r="H8" s="4">
        <f ca="1">SUBTOTAL(9,Incomes6[Total])</f>
        <v>0</v>
      </c>
      <c r="J8" t="s">
        <v>24</v>
      </c>
      <c r="K8" s="4">
        <f ca="1">SUMIFS(operations[Amount], operations[Category], Expenses6[[#This Row],[Category]], operations[Month], $B$11)</f>
        <v>0</v>
      </c>
    </row>
    <row r="9" spans="1:11" x14ac:dyDescent="0.25">
      <c r="A9" t="s">
        <v>34</v>
      </c>
      <c r="C9" s="4" t="e" vm="2">
        <f ca="1">SUBTOTAL(9,Flow6[Opening balance])</f>
        <v>#NAME?</v>
      </c>
      <c r="D9" s="4">
        <f ca="1">SUBTOTAL(109,Flow6[Operations])</f>
        <v>0</v>
      </c>
      <c r="E9" s="4" t="e" vm="2">
        <f ca="1">SUBTOTAL(109,Flow6[Closing balance])</f>
        <v>#NAME?</v>
      </c>
      <c r="J9" t="s">
        <v>23</v>
      </c>
      <c r="K9" s="4">
        <f ca="1">SUMIFS(operations[Amount], operations[Category], Expenses6[[#This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Expenses6[[#This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SUBTOTAL(9,Expenses6[Total])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Total6[[#This Row],[Type]], operations[Month], $B$11)</f>
        <v>0</v>
      </c>
    </row>
    <row r="15" spans="1:11" x14ac:dyDescent="0.25">
      <c r="A15" t="s">
        <v>33</v>
      </c>
      <c r="B15" s="4">
        <f ca="1">SUMIFS(operations[Amount], operations[Type], Total6[[#This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Total6[[#This Row],[Type]], operations[Month], $B$11)</f>
        <v>0</v>
      </c>
    </row>
    <row r="17" spans="1:2" x14ac:dyDescent="0.25">
      <c r="A17" t="s">
        <v>34</v>
      </c>
      <c r="B17" s="4">
        <f ca="1">SUBTOTAL(9,Total6[Total])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15C7-FAEE-4286-AFCF-C55754E516D9}">
  <dimension ref="A1:K17"/>
  <sheetViews>
    <sheetView workbookViewId="0">
      <selection activeCell="J10" sqref="J10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 t="e" cm="1" vm="2">
        <f t="array" aca="1" ref="C2" ca="1">INDIRECT("Flow" &amp; $B$11-1 &amp; "[@[Closing balance]]")</f>
        <v>#NAME?</v>
      </c>
      <c r="D2" s="4">
        <f ca="1">SUMIFS(operations[Amount],operations[Bank],Flow7[[#This Row],[Bank]],operations[Product],Flow7[[#This Row],[Product]],operations[Month],$B$11)</f>
        <v>0</v>
      </c>
      <c r="E2" s="4" t="e" vm="2">
        <f ca="1">Flow7[[#This Row],[Opening balance]]+Flow7[[#This Row],[Operations]]</f>
        <v>#NAME?</v>
      </c>
      <c r="G2" t="s">
        <v>25</v>
      </c>
      <c r="H2" s="4">
        <f ca="1">SUMIFS(operations[Amount], operations[Category], Incomes7[[#This Row],[Category]], operations[Month], $B$11)</f>
        <v>0</v>
      </c>
      <c r="J2" t="s">
        <v>18</v>
      </c>
      <c r="K2" s="4">
        <f ca="1">SUMIFS(operations[Amount], operations[Category], Expenses7[[#This Row],[Category]], operations[Month], $B$11)</f>
        <v>0</v>
      </c>
    </row>
    <row r="3" spans="1:11" x14ac:dyDescent="0.25">
      <c r="A3" t="s">
        <v>11</v>
      </c>
      <c r="B3" t="s">
        <v>12</v>
      </c>
      <c r="C3" s="4" t="e" cm="1" vm="2">
        <f t="array" aca="1" ref="C3" ca="1">INDIRECT("Flow" &amp; $B$11-1 &amp; "[@[Closing balance]]")</f>
        <v>#NAME?</v>
      </c>
      <c r="D3" s="4">
        <f ca="1">SUMIFS(operations[Amount],operations[Bank],Flow7[[#This Row],[Bank]],operations[Product],Flow7[[#This Row],[Product]],operations[Month],$B$11)</f>
        <v>0</v>
      </c>
      <c r="E3" s="4" t="e" vm="2">
        <f ca="1">Flow7[[#This Row],[Opening balance]]+Flow7[[#This Row],[Operations]]</f>
        <v>#NAME?</v>
      </c>
      <c r="G3" t="s">
        <v>28</v>
      </c>
      <c r="H3" s="4">
        <f ca="1">SUMIFS(operations[Amount], operations[Category], Incomes7[[#This Row],[Category]], operations[Month], $B$11)</f>
        <v>0</v>
      </c>
      <c r="J3" t="s">
        <v>22</v>
      </c>
      <c r="K3" s="4">
        <f ca="1">SUMIFS(operations[Amount], operations[Category], Expenses7[[#This Row],[Category]], operations[Month], $B$11)</f>
        <v>0</v>
      </c>
    </row>
    <row r="4" spans="1:11" x14ac:dyDescent="0.25">
      <c r="A4" t="s">
        <v>7</v>
      </c>
      <c r="B4" t="s">
        <v>8</v>
      </c>
      <c r="C4" s="4" t="e" cm="1" vm="2">
        <f t="array" aca="1" ref="C4" ca="1">INDIRECT("Flow" &amp; $B$11-1 &amp; "[@[Closing balance]]")</f>
        <v>#NAME?</v>
      </c>
      <c r="D4" s="4">
        <f ca="1">SUMIFS(operations[Amount],operations[Bank],Flow7[[#This Row],[Bank]],operations[Product],Flow7[[#This Row],[Product]],operations[Month],$B$11)</f>
        <v>0</v>
      </c>
      <c r="E4" s="4" t="e" vm="2">
        <f ca="1">Flow7[[#This Row],[Opening balance]]+Flow7[[#This Row],[Operations]]</f>
        <v>#NAME?</v>
      </c>
      <c r="G4" t="s">
        <v>29</v>
      </c>
      <c r="H4" s="4">
        <f ca="1">SUMIFS(operations[Amount], operations[Category], Incomes7[[#This Row],[Category]], operations[Month], $B$11)</f>
        <v>0</v>
      </c>
      <c r="J4" t="s">
        <v>20</v>
      </c>
      <c r="K4" s="4">
        <f ca="1">SUMIFS(operations[Amount], operations[Category], Expenses7[[#This Row],[Category]], operations[Month], $B$11)</f>
        <v>0</v>
      </c>
    </row>
    <row r="5" spans="1:11" x14ac:dyDescent="0.25">
      <c r="A5" t="s">
        <v>7</v>
      </c>
      <c r="B5" t="s">
        <v>9</v>
      </c>
      <c r="C5" s="4" t="e" cm="1" vm="2">
        <f t="array" aca="1" ref="C5" ca="1">INDIRECT("Flow" &amp; $B$11-1 &amp; "[@[Closing balance]]")</f>
        <v>#NAME?</v>
      </c>
      <c r="D5" s="4">
        <f ca="1">SUMIFS(operations[Amount],operations[Bank],Flow7[[#This Row],[Bank]],operations[Product],Flow7[[#This Row],[Product]],operations[Month],$B$11)</f>
        <v>0</v>
      </c>
      <c r="E5" s="4" t="e" vm="2">
        <f ca="1">Flow7[[#This Row],[Opening balance]]+Flow7[[#This Row],[Operations]]</f>
        <v>#NAME?</v>
      </c>
      <c r="G5" t="s">
        <v>30</v>
      </c>
      <c r="H5" s="4">
        <f ca="1">SUMIFS(operations[Amount], operations[Category], Incomes7[[#This Row],[Category]], operations[Month], $B$11)</f>
        <v>0</v>
      </c>
      <c r="J5" t="s">
        <v>17</v>
      </c>
      <c r="K5" s="4">
        <f ca="1">SUMIFS(operations[Amount], operations[Category], Expenses7[[#This Row],[Category]], operations[Month], $B$11)</f>
        <v>0</v>
      </c>
    </row>
    <row r="6" spans="1:11" x14ac:dyDescent="0.25">
      <c r="A6" t="s">
        <v>7</v>
      </c>
      <c r="B6" t="s">
        <v>10</v>
      </c>
      <c r="C6" s="4" t="e" cm="1" vm="2">
        <f t="array" aca="1" ref="C6" ca="1">INDIRECT("Flow" &amp; $B$11-1 &amp; "[@[Closing balance]]")</f>
        <v>#NAME?</v>
      </c>
      <c r="D6" s="4">
        <f ca="1">SUMIFS(operations[Amount],operations[Bank],Flow7[[#This Row],[Bank]],operations[Product],Flow7[[#This Row],[Product]],operations[Month],$B$11)</f>
        <v>0</v>
      </c>
      <c r="E6" s="4" t="e" vm="2">
        <f ca="1">Flow7[[#This Row],[Opening balance]]+Flow7[[#This Row],[Operations]]</f>
        <v>#NAME?</v>
      </c>
      <c r="G6" t="s">
        <v>26</v>
      </c>
      <c r="H6" s="4">
        <f ca="1">SUMIFS(operations[Amount], operations[Category], Incomes7[[#This Row],[Category]], operations[Month], $B$11)</f>
        <v>0</v>
      </c>
      <c r="J6" t="s">
        <v>21</v>
      </c>
      <c r="K6" s="4">
        <f ca="1">SUMIFS(operations[Amount], operations[Category], Expenses7[[#This Row],[Category]], operations[Month], $B$11)</f>
        <v>0</v>
      </c>
    </row>
    <row r="7" spans="1:11" x14ac:dyDescent="0.25">
      <c r="A7" t="s">
        <v>13</v>
      </c>
      <c r="B7" t="s">
        <v>15</v>
      </c>
      <c r="C7" s="4" t="e" cm="1" vm="2">
        <f t="array" aca="1" ref="C7" ca="1">INDIRECT("Flow" &amp; $B$11-1 &amp; "[@[Closing balance]]")</f>
        <v>#NAME?</v>
      </c>
      <c r="D7" s="4">
        <f ca="1">SUMIFS(operations[Amount],operations[Bank],Flow7[[#This Row],[Bank]],operations[Product],Flow7[[#This Row],[Product]],operations[Month],$B$11)</f>
        <v>0</v>
      </c>
      <c r="E7" s="4" t="e" vm="2">
        <f ca="1">Flow7[[#This Row],[Opening balance]]+Flow7[[#This Row],[Operations]]</f>
        <v>#NAME?</v>
      </c>
      <c r="G7" t="s">
        <v>27</v>
      </c>
      <c r="H7" s="4">
        <f ca="1">SUMIFS(operations[Amount], operations[Category], Incomes7[[#This Row],[Category]], operations[Month], $B$11)</f>
        <v>0</v>
      </c>
      <c r="J7" t="s">
        <v>19</v>
      </c>
      <c r="K7" s="4">
        <f ca="1">SUMIFS(operations[Amount], operations[Category], Expenses7[[#This Row],[Category]], operations[Month], $B$11)</f>
        <v>0</v>
      </c>
    </row>
    <row r="8" spans="1:11" x14ac:dyDescent="0.25">
      <c r="A8" t="s">
        <v>13</v>
      </c>
      <c r="B8" t="s">
        <v>14</v>
      </c>
      <c r="C8" s="4" t="e" cm="1" vm="2">
        <f t="array" aca="1" ref="C8" ca="1">INDIRECT("Flow" &amp; $B$11-1 &amp; "[@[Closing balance]]")</f>
        <v>#NAME?</v>
      </c>
      <c r="D8" s="4">
        <f ca="1">SUMIFS(operations[Amount],operations[Bank],Flow7[[#This Row],[Bank]],operations[Product],Flow7[[#This Row],[Product]],operations[Month],$B$11)</f>
        <v>0</v>
      </c>
      <c r="E8" s="4" t="e" vm="2">
        <f ca="1">Flow7[[#This Row],[Opening balance]]+Flow7[[#This Row],[Operations]]</f>
        <v>#NAME?</v>
      </c>
      <c r="G8" t="s">
        <v>34</v>
      </c>
      <c r="H8" s="4">
        <f ca="1">SUBTOTAL(9,Incomes7[Total])</f>
        <v>0</v>
      </c>
      <c r="J8" t="s">
        <v>24</v>
      </c>
      <c r="K8" s="4">
        <f ca="1">SUMIFS(operations[Amount], operations[Category], Expenses7[[#This Row],[Category]], operations[Month], $B$11)</f>
        <v>0</v>
      </c>
    </row>
    <row r="9" spans="1:11" x14ac:dyDescent="0.25">
      <c r="A9" t="s">
        <v>34</v>
      </c>
      <c r="C9" s="4" t="e" vm="2">
        <f ca="1">SUBTOTAL(9,Flow7[Opening balance])</f>
        <v>#NAME?</v>
      </c>
      <c r="D9" s="4">
        <f ca="1">SUBTOTAL(109,Flow7[Operations])</f>
        <v>0</v>
      </c>
      <c r="E9" s="4" t="e" vm="2">
        <f ca="1">SUBTOTAL(109,Flow7[Closing balance])</f>
        <v>#NAME?</v>
      </c>
      <c r="J9" t="s">
        <v>23</v>
      </c>
      <c r="K9" s="4">
        <f ca="1">SUMIFS(operations[Amount], operations[Category], Expenses7[[#This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Expenses7[[#This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SUBTOTAL(9,Expenses7[Total])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Total7[[#This Row],[Type]], operations[Month], $B$11)</f>
        <v>0</v>
      </c>
    </row>
    <row r="15" spans="1:11" x14ac:dyDescent="0.25">
      <c r="A15" t="s">
        <v>33</v>
      </c>
      <c r="B15" s="4">
        <f ca="1">SUMIFS(operations[Amount], operations[Type], Total7[[#This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Total7[[#This Row],[Type]], operations[Month], $B$11)</f>
        <v>0</v>
      </c>
    </row>
    <row r="17" spans="1:2" x14ac:dyDescent="0.25">
      <c r="A17" t="s">
        <v>34</v>
      </c>
      <c r="B17" s="4">
        <f ca="1">SUBTOTAL(9,Total7[Total])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B3A4-A809-45C2-9CE4-E3E17C3BB1C2}">
  <dimension ref="A1:K17"/>
  <sheetViews>
    <sheetView workbookViewId="0">
      <selection activeCell="J10" sqref="J10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 t="e" cm="1" vm="2">
        <f t="array" aca="1" ref="C2" ca="1">INDIRECT("Flow" &amp; $B$11-1 &amp; "[@[Closing balance]]")</f>
        <v>#NAME?</v>
      </c>
      <c r="D2" s="4">
        <f ca="1">SUMIFS(operations[Amount],operations[Bank],Flow8[[#This Row],[Bank]],operations[Product],Flow8[[#This Row],[Product]],operations[Month],$B$11)</f>
        <v>0</v>
      </c>
      <c r="E2" s="4" t="e" vm="2">
        <f ca="1">Flow8[[#This Row],[Opening balance]]+Flow8[[#This Row],[Operations]]</f>
        <v>#NAME?</v>
      </c>
      <c r="G2" t="s">
        <v>25</v>
      </c>
      <c r="H2" s="4">
        <f ca="1">SUMIFS(operations[Amount], operations[Category], Incomes8[[#This Row],[Category]], operations[Month], $B$11)</f>
        <v>0</v>
      </c>
      <c r="J2" t="s">
        <v>18</v>
      </c>
      <c r="K2" s="4">
        <f ca="1">SUMIFS(operations[Amount], operations[Category], Expenses8[[#This Row],[Category]], operations[Month], $B$11)</f>
        <v>0</v>
      </c>
    </row>
    <row r="3" spans="1:11" x14ac:dyDescent="0.25">
      <c r="A3" t="s">
        <v>11</v>
      </c>
      <c r="B3" t="s">
        <v>12</v>
      </c>
      <c r="C3" s="4" t="e" cm="1" vm="2">
        <f t="array" aca="1" ref="C3" ca="1">INDIRECT("Flow" &amp; $B$11-1 &amp; "[@[Closing balance]]")</f>
        <v>#NAME?</v>
      </c>
      <c r="D3" s="4">
        <f ca="1">SUMIFS(operations[Amount],operations[Bank],Flow8[[#This Row],[Bank]],operations[Product],Flow8[[#This Row],[Product]],operations[Month],$B$11)</f>
        <v>0</v>
      </c>
      <c r="E3" s="4" t="e" vm="2">
        <f ca="1">Flow8[[#This Row],[Opening balance]]+Flow8[[#This Row],[Operations]]</f>
        <v>#NAME?</v>
      </c>
      <c r="G3" t="s">
        <v>28</v>
      </c>
      <c r="H3" s="4">
        <f ca="1">SUMIFS(operations[Amount], operations[Category], Incomes8[[#This Row],[Category]], operations[Month], $B$11)</f>
        <v>0</v>
      </c>
      <c r="J3" t="s">
        <v>22</v>
      </c>
      <c r="K3" s="4">
        <f ca="1">SUMIFS(operations[Amount], operations[Category], Expenses8[[#This Row],[Category]], operations[Month], $B$11)</f>
        <v>0</v>
      </c>
    </row>
    <row r="4" spans="1:11" x14ac:dyDescent="0.25">
      <c r="A4" t="s">
        <v>7</v>
      </c>
      <c r="B4" t="s">
        <v>8</v>
      </c>
      <c r="C4" s="4" t="e" cm="1" vm="2">
        <f t="array" aca="1" ref="C4" ca="1">INDIRECT("Flow" &amp; $B$11-1 &amp; "[@[Closing balance]]")</f>
        <v>#NAME?</v>
      </c>
      <c r="D4" s="4">
        <f ca="1">SUMIFS(operations[Amount],operations[Bank],Flow8[[#This Row],[Bank]],operations[Product],Flow8[[#This Row],[Product]],operations[Month],$B$11)</f>
        <v>0</v>
      </c>
      <c r="E4" s="4" t="e" vm="2">
        <f ca="1">Flow8[[#This Row],[Opening balance]]+Flow8[[#This Row],[Operations]]</f>
        <v>#NAME?</v>
      </c>
      <c r="G4" t="s">
        <v>29</v>
      </c>
      <c r="H4" s="4">
        <f ca="1">SUMIFS(operations[Amount], operations[Category], Incomes8[[#This Row],[Category]], operations[Month], $B$11)</f>
        <v>0</v>
      </c>
      <c r="J4" t="s">
        <v>20</v>
      </c>
      <c r="K4" s="4">
        <f ca="1">SUMIFS(operations[Amount], operations[Category], Expenses8[[#This Row],[Category]], operations[Month], $B$11)</f>
        <v>0</v>
      </c>
    </row>
    <row r="5" spans="1:11" x14ac:dyDescent="0.25">
      <c r="A5" t="s">
        <v>7</v>
      </c>
      <c r="B5" t="s">
        <v>9</v>
      </c>
      <c r="C5" s="4" t="e" cm="1" vm="2">
        <f t="array" aca="1" ref="C5" ca="1">INDIRECT("Flow" &amp; $B$11-1 &amp; "[@[Closing balance]]")</f>
        <v>#NAME?</v>
      </c>
      <c r="D5" s="4">
        <f ca="1">SUMIFS(operations[Amount],operations[Bank],Flow8[[#This Row],[Bank]],operations[Product],Flow8[[#This Row],[Product]],operations[Month],$B$11)</f>
        <v>0</v>
      </c>
      <c r="E5" s="4" t="e" vm="2">
        <f ca="1">Flow8[[#This Row],[Opening balance]]+Flow8[[#This Row],[Operations]]</f>
        <v>#NAME?</v>
      </c>
      <c r="G5" t="s">
        <v>30</v>
      </c>
      <c r="H5" s="4">
        <f ca="1">SUMIFS(operations[Amount], operations[Category], Incomes8[[#This Row],[Category]], operations[Month], $B$11)</f>
        <v>0</v>
      </c>
      <c r="J5" t="s">
        <v>17</v>
      </c>
      <c r="K5" s="4">
        <f ca="1">SUMIFS(operations[Amount], operations[Category], Expenses8[[#This Row],[Category]], operations[Month], $B$11)</f>
        <v>0</v>
      </c>
    </row>
    <row r="6" spans="1:11" x14ac:dyDescent="0.25">
      <c r="A6" t="s">
        <v>7</v>
      </c>
      <c r="B6" t="s">
        <v>10</v>
      </c>
      <c r="C6" s="4" t="e" cm="1" vm="2">
        <f t="array" aca="1" ref="C6" ca="1">INDIRECT("Flow" &amp; $B$11-1 &amp; "[@[Closing balance]]")</f>
        <v>#NAME?</v>
      </c>
      <c r="D6" s="4">
        <f ca="1">SUMIFS(operations[Amount],operations[Bank],Flow8[[#This Row],[Bank]],operations[Product],Flow8[[#This Row],[Product]],operations[Month],$B$11)</f>
        <v>0</v>
      </c>
      <c r="E6" s="4" t="e" vm="2">
        <f ca="1">Flow8[[#This Row],[Opening balance]]+Flow8[[#This Row],[Operations]]</f>
        <v>#NAME?</v>
      </c>
      <c r="G6" t="s">
        <v>26</v>
      </c>
      <c r="H6" s="4">
        <f ca="1">SUMIFS(operations[Amount], operations[Category], Incomes8[[#This Row],[Category]], operations[Month], $B$11)</f>
        <v>0</v>
      </c>
      <c r="J6" t="s">
        <v>21</v>
      </c>
      <c r="K6" s="4">
        <f ca="1">SUMIFS(operations[Amount], operations[Category], Expenses8[[#This Row],[Category]], operations[Month], $B$11)</f>
        <v>0</v>
      </c>
    </row>
    <row r="7" spans="1:11" x14ac:dyDescent="0.25">
      <c r="A7" t="s">
        <v>13</v>
      </c>
      <c r="B7" t="s">
        <v>15</v>
      </c>
      <c r="C7" s="4" t="e" cm="1" vm="2">
        <f t="array" aca="1" ref="C7" ca="1">INDIRECT("Flow" &amp; $B$11-1 &amp; "[@[Closing balance]]")</f>
        <v>#NAME?</v>
      </c>
      <c r="D7" s="4">
        <f ca="1">SUMIFS(operations[Amount],operations[Bank],Flow8[[#This Row],[Bank]],operations[Product],Flow8[[#This Row],[Product]],operations[Month],$B$11)</f>
        <v>0</v>
      </c>
      <c r="E7" s="4" t="e" vm="2">
        <f ca="1">Flow8[[#This Row],[Opening balance]]+Flow8[[#This Row],[Operations]]</f>
        <v>#NAME?</v>
      </c>
      <c r="G7" t="s">
        <v>27</v>
      </c>
      <c r="H7" s="4">
        <f ca="1">SUMIFS(operations[Amount], operations[Category], Incomes8[[#This Row],[Category]], operations[Month], $B$11)</f>
        <v>0</v>
      </c>
      <c r="J7" t="s">
        <v>19</v>
      </c>
      <c r="K7" s="4">
        <f ca="1">SUMIFS(operations[Amount], operations[Category], Expenses8[[#This Row],[Category]], operations[Month], $B$11)</f>
        <v>0</v>
      </c>
    </row>
    <row r="8" spans="1:11" x14ac:dyDescent="0.25">
      <c r="A8" t="s">
        <v>13</v>
      </c>
      <c r="B8" t="s">
        <v>14</v>
      </c>
      <c r="C8" s="4" t="e" cm="1" vm="2">
        <f t="array" aca="1" ref="C8" ca="1">INDIRECT("Flow" &amp; $B$11-1 &amp; "[@[Closing balance]]")</f>
        <v>#NAME?</v>
      </c>
      <c r="D8" s="4">
        <f ca="1">SUMIFS(operations[Amount],operations[Bank],Flow8[[#This Row],[Bank]],operations[Product],Flow8[[#This Row],[Product]],operations[Month],$B$11)</f>
        <v>0</v>
      </c>
      <c r="E8" s="4" t="e" vm="2">
        <f ca="1">Flow8[[#This Row],[Opening balance]]+Flow8[[#This Row],[Operations]]</f>
        <v>#NAME?</v>
      </c>
      <c r="G8" t="s">
        <v>34</v>
      </c>
      <c r="H8" s="4">
        <f ca="1">SUBTOTAL(9,Incomes8[Total])</f>
        <v>0</v>
      </c>
      <c r="J8" t="s">
        <v>24</v>
      </c>
      <c r="K8" s="4">
        <f ca="1">SUMIFS(operations[Amount], operations[Category], Expenses8[[#This Row],[Category]], operations[Month], $B$11)</f>
        <v>0</v>
      </c>
    </row>
    <row r="9" spans="1:11" x14ac:dyDescent="0.25">
      <c r="A9" t="s">
        <v>34</v>
      </c>
      <c r="C9" s="4" t="e" vm="2">
        <f ca="1">SUBTOTAL(9,Flow8[Opening balance])</f>
        <v>#NAME?</v>
      </c>
      <c r="D9" s="4">
        <f ca="1">SUBTOTAL(109,Flow8[Operations])</f>
        <v>0</v>
      </c>
      <c r="E9" s="4" t="e" vm="2">
        <f ca="1">SUBTOTAL(109,Flow8[Closing balance])</f>
        <v>#NAME?</v>
      </c>
      <c r="J9" t="s">
        <v>23</v>
      </c>
      <c r="K9" s="4">
        <f ca="1">SUMIFS(operations[Amount], operations[Category], Expenses8[[#This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Expenses8[[#This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SUBTOTAL(9,Expenses8[Total])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Total8[[#This Row],[Type]], operations[Month], $B$11)</f>
        <v>0</v>
      </c>
    </row>
    <row r="15" spans="1:11" x14ac:dyDescent="0.25">
      <c r="A15" t="s">
        <v>33</v>
      </c>
      <c r="B15" s="4">
        <f ca="1">SUMIFS(operations[Amount], operations[Type], Total8[[#This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Total8[[#This Row],[Type]], operations[Month], $B$11)</f>
        <v>0</v>
      </c>
    </row>
    <row r="17" spans="1:2" x14ac:dyDescent="0.25">
      <c r="A17" t="s">
        <v>34</v>
      </c>
      <c r="B17" s="4">
        <f ca="1">SUBTOTAL(9,Total8[Total])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0CCD-C5E2-4278-B3A2-C5E2AD2741AD}">
  <dimension ref="A1:K17"/>
  <sheetViews>
    <sheetView workbookViewId="0">
      <selection activeCell="J10" sqref="J10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 t="e" cm="1" vm="2">
        <f t="array" aca="1" ref="C2" ca="1">INDIRECT("Flow" &amp; $B$11-1 &amp; "[@[Closing balance]]")</f>
        <v>#NAME?</v>
      </c>
      <c r="D2" s="4">
        <f ca="1">SUMIFS(operations[Amount],operations[Bank],Flow9[[#This Row],[Bank]],operations[Product],Flow9[[#This Row],[Product]],operations[Month],$B$11)</f>
        <v>0</v>
      </c>
      <c r="E2" s="4" t="e" vm="2">
        <f ca="1">Flow9[[#This Row],[Opening balance]]+Flow9[[#This Row],[Operations]]</f>
        <v>#NAME?</v>
      </c>
      <c r="G2" t="s">
        <v>25</v>
      </c>
      <c r="H2" s="4">
        <f ca="1">SUMIFS(operations[Amount], operations[Category], Incomes9[[#This Row],[Category]], operations[Month], $B$11)</f>
        <v>0</v>
      </c>
      <c r="J2" t="s">
        <v>18</v>
      </c>
      <c r="K2" s="4">
        <f ca="1">SUMIFS(operations[Amount], operations[Category], Expenses9[[#This Row],[Category]], operations[Month], $B$11)</f>
        <v>0</v>
      </c>
    </row>
    <row r="3" spans="1:11" x14ac:dyDescent="0.25">
      <c r="A3" t="s">
        <v>11</v>
      </c>
      <c r="B3" t="s">
        <v>12</v>
      </c>
      <c r="C3" s="4" t="e" cm="1" vm="2">
        <f t="array" aca="1" ref="C3" ca="1">INDIRECT("Flow" &amp; $B$11-1 &amp; "[@[Closing balance]]")</f>
        <v>#NAME?</v>
      </c>
      <c r="D3" s="4">
        <f ca="1">SUMIFS(operations[Amount],operations[Bank],Flow9[[#This Row],[Bank]],operations[Product],Flow9[[#This Row],[Product]],operations[Month],$B$11)</f>
        <v>0</v>
      </c>
      <c r="E3" s="4" t="e" vm="2">
        <f ca="1">Flow9[[#This Row],[Opening balance]]+Flow9[[#This Row],[Operations]]</f>
        <v>#NAME?</v>
      </c>
      <c r="G3" t="s">
        <v>28</v>
      </c>
      <c r="H3" s="4">
        <f ca="1">SUMIFS(operations[Amount], operations[Category], Incomes9[[#This Row],[Category]], operations[Month], $B$11)</f>
        <v>0</v>
      </c>
      <c r="J3" t="s">
        <v>22</v>
      </c>
      <c r="K3" s="4">
        <f ca="1">SUMIFS(operations[Amount], operations[Category], Expenses9[[#This Row],[Category]], operations[Month], $B$11)</f>
        <v>0</v>
      </c>
    </row>
    <row r="4" spans="1:11" x14ac:dyDescent="0.25">
      <c r="A4" t="s">
        <v>7</v>
      </c>
      <c r="B4" t="s">
        <v>8</v>
      </c>
      <c r="C4" s="4" t="e" cm="1" vm="2">
        <f t="array" aca="1" ref="C4" ca="1">INDIRECT("Flow" &amp; $B$11-1 &amp; "[@[Closing balance]]")</f>
        <v>#NAME?</v>
      </c>
      <c r="D4" s="4">
        <f ca="1">SUMIFS(operations[Amount],operations[Bank],Flow9[[#This Row],[Bank]],operations[Product],Flow9[[#This Row],[Product]],operations[Month],$B$11)</f>
        <v>0</v>
      </c>
      <c r="E4" s="4" t="e" vm="2">
        <f ca="1">Flow9[[#This Row],[Opening balance]]+Flow9[[#This Row],[Operations]]</f>
        <v>#NAME?</v>
      </c>
      <c r="G4" t="s">
        <v>29</v>
      </c>
      <c r="H4" s="4">
        <f ca="1">SUMIFS(operations[Amount], operations[Category], Incomes9[[#This Row],[Category]], operations[Month], $B$11)</f>
        <v>0</v>
      </c>
      <c r="J4" t="s">
        <v>20</v>
      </c>
      <c r="K4" s="4">
        <f ca="1">SUMIFS(operations[Amount], operations[Category], Expenses9[[#This Row],[Category]], operations[Month], $B$11)</f>
        <v>0</v>
      </c>
    </row>
    <row r="5" spans="1:11" x14ac:dyDescent="0.25">
      <c r="A5" t="s">
        <v>7</v>
      </c>
      <c r="B5" t="s">
        <v>9</v>
      </c>
      <c r="C5" s="4" t="e" cm="1" vm="2">
        <f t="array" aca="1" ref="C5" ca="1">INDIRECT("Flow" &amp; $B$11-1 &amp; "[@[Closing balance]]")</f>
        <v>#NAME?</v>
      </c>
      <c r="D5" s="4">
        <f ca="1">SUMIFS(operations[Amount],operations[Bank],Flow9[[#This Row],[Bank]],operations[Product],Flow9[[#This Row],[Product]],operations[Month],$B$11)</f>
        <v>0</v>
      </c>
      <c r="E5" s="4" t="e" vm="2">
        <f ca="1">Flow9[[#This Row],[Opening balance]]+Flow9[[#This Row],[Operations]]</f>
        <v>#NAME?</v>
      </c>
      <c r="G5" t="s">
        <v>30</v>
      </c>
      <c r="H5" s="4">
        <f ca="1">SUMIFS(operations[Amount], operations[Category], Incomes9[[#This Row],[Category]], operations[Month], $B$11)</f>
        <v>0</v>
      </c>
      <c r="J5" t="s">
        <v>17</v>
      </c>
      <c r="K5" s="4">
        <f ca="1">SUMIFS(operations[Amount], operations[Category], Expenses9[[#This Row],[Category]], operations[Month], $B$11)</f>
        <v>0</v>
      </c>
    </row>
    <row r="6" spans="1:11" x14ac:dyDescent="0.25">
      <c r="A6" t="s">
        <v>7</v>
      </c>
      <c r="B6" t="s">
        <v>10</v>
      </c>
      <c r="C6" s="4" t="e" cm="1" vm="2">
        <f t="array" aca="1" ref="C6" ca="1">INDIRECT("Flow" &amp; $B$11-1 &amp; "[@[Closing balance]]")</f>
        <v>#NAME?</v>
      </c>
      <c r="D6" s="4">
        <f ca="1">SUMIFS(operations[Amount],operations[Bank],Flow9[[#This Row],[Bank]],operations[Product],Flow9[[#This Row],[Product]],operations[Month],$B$11)</f>
        <v>0</v>
      </c>
      <c r="E6" s="4" t="e" vm="2">
        <f ca="1">Flow9[[#This Row],[Opening balance]]+Flow9[[#This Row],[Operations]]</f>
        <v>#NAME?</v>
      </c>
      <c r="G6" t="s">
        <v>26</v>
      </c>
      <c r="H6" s="4">
        <f ca="1">SUMIFS(operations[Amount], operations[Category], Incomes9[[#This Row],[Category]], operations[Month], $B$11)</f>
        <v>0</v>
      </c>
      <c r="J6" t="s">
        <v>21</v>
      </c>
      <c r="K6" s="4">
        <f ca="1">SUMIFS(operations[Amount], operations[Category], Expenses9[[#This Row],[Category]], operations[Month], $B$11)</f>
        <v>0</v>
      </c>
    </row>
    <row r="7" spans="1:11" x14ac:dyDescent="0.25">
      <c r="A7" t="s">
        <v>13</v>
      </c>
      <c r="B7" t="s">
        <v>15</v>
      </c>
      <c r="C7" s="4" t="e" cm="1" vm="2">
        <f t="array" aca="1" ref="C7" ca="1">INDIRECT("Flow" &amp; $B$11-1 &amp; "[@[Closing balance]]")</f>
        <v>#NAME?</v>
      </c>
      <c r="D7" s="4">
        <f ca="1">SUMIFS(operations[Amount],operations[Bank],Flow9[[#This Row],[Bank]],operations[Product],Flow9[[#This Row],[Product]],operations[Month],$B$11)</f>
        <v>0</v>
      </c>
      <c r="E7" s="4" t="e" vm="2">
        <f ca="1">Flow9[[#This Row],[Opening balance]]+Flow9[[#This Row],[Operations]]</f>
        <v>#NAME?</v>
      </c>
      <c r="G7" t="s">
        <v>27</v>
      </c>
      <c r="H7" s="4">
        <f ca="1">SUMIFS(operations[Amount], operations[Category], Incomes9[[#This Row],[Category]], operations[Month], $B$11)</f>
        <v>0</v>
      </c>
      <c r="J7" t="s">
        <v>19</v>
      </c>
      <c r="K7" s="4">
        <f ca="1">SUMIFS(operations[Amount], operations[Category], Expenses9[[#This Row],[Category]], operations[Month], $B$11)</f>
        <v>0</v>
      </c>
    </row>
    <row r="8" spans="1:11" x14ac:dyDescent="0.25">
      <c r="A8" t="s">
        <v>13</v>
      </c>
      <c r="B8" t="s">
        <v>14</v>
      </c>
      <c r="C8" s="4" t="e" cm="1" vm="2">
        <f t="array" aca="1" ref="C8" ca="1">INDIRECT("Flow" &amp; $B$11-1 &amp; "[@[Closing balance]]")</f>
        <v>#NAME?</v>
      </c>
      <c r="D8" s="4">
        <f ca="1">SUMIFS(operations[Amount],operations[Bank],Flow9[[#This Row],[Bank]],operations[Product],Flow9[[#This Row],[Product]],operations[Month],$B$11)</f>
        <v>0</v>
      </c>
      <c r="E8" s="4" t="e" vm="2">
        <f ca="1">Flow9[[#This Row],[Opening balance]]+Flow9[[#This Row],[Operations]]</f>
        <v>#NAME?</v>
      </c>
      <c r="G8" t="s">
        <v>34</v>
      </c>
      <c r="H8" s="4">
        <f ca="1">SUBTOTAL(9,Incomes9[Total])</f>
        <v>0</v>
      </c>
      <c r="J8" t="s">
        <v>24</v>
      </c>
      <c r="K8" s="4">
        <f ca="1">SUMIFS(operations[Amount], operations[Category], Expenses9[[#This Row],[Category]], operations[Month], $B$11)</f>
        <v>0</v>
      </c>
    </row>
    <row r="9" spans="1:11" x14ac:dyDescent="0.25">
      <c r="A9" t="s">
        <v>34</v>
      </c>
      <c r="C9" s="4" t="e" vm="2">
        <f ca="1">SUBTOTAL(9,Flow9[Opening balance])</f>
        <v>#NAME?</v>
      </c>
      <c r="D9" s="4">
        <f ca="1">SUBTOTAL(109,Flow9[Operations])</f>
        <v>0</v>
      </c>
      <c r="E9" s="4" t="e" vm="2">
        <f ca="1">SUBTOTAL(109,Flow9[Closing balance])</f>
        <v>#NAME?</v>
      </c>
      <c r="J9" t="s">
        <v>23</v>
      </c>
      <c r="K9" s="4">
        <f ca="1">SUMIFS(operations[Amount], operations[Category], Expenses9[[#This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Expenses9[[#This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SUBTOTAL(9,Expenses9[Total])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Total9[[#This Row],[Type]], operations[Month], $B$11)</f>
        <v>0</v>
      </c>
    </row>
    <row r="15" spans="1:11" x14ac:dyDescent="0.25">
      <c r="A15" t="s">
        <v>33</v>
      </c>
      <c r="B15" s="4">
        <f ca="1">SUMIFS(operations[Amount], operations[Type], Total9[[#This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Total9[[#This Row],[Type]], operations[Month], $B$11)</f>
        <v>0</v>
      </c>
    </row>
    <row r="17" spans="1:2" x14ac:dyDescent="0.25">
      <c r="A17" t="s">
        <v>34</v>
      </c>
      <c r="B17" s="4">
        <f ca="1">SUBTOTAL(9,Total9[Total])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42DC-D506-4489-9302-4BCB2970A0B2}">
  <dimension ref="A1:K17"/>
  <sheetViews>
    <sheetView workbookViewId="0">
      <selection activeCell="J10" sqref="J10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 t="e" cm="1" vm="2">
        <f t="array" aca="1" ref="C2" ca="1">INDIRECT("Flow" &amp; $B$11-1 &amp; "[@[Closing balance]]")</f>
        <v>#NAME?</v>
      </c>
      <c r="D2" s="4">
        <f ca="1">SUMIFS(operations[Amount],operations[Bank],Flow10[[#This Row],[Bank]],operations[Product],Flow10[[#This Row],[Product]],operations[Month],$B$11)</f>
        <v>0</v>
      </c>
      <c r="E2" s="4" t="e" vm="2">
        <f ca="1">Flow10[[#This Row],[Opening balance]]+Flow10[[#This Row],[Operations]]</f>
        <v>#NAME?</v>
      </c>
      <c r="G2" t="s">
        <v>25</v>
      </c>
      <c r="H2" s="4">
        <f ca="1">SUMIFS(operations[Amount], operations[Category], Incomes10[[#This Row],[Category]], operations[Month], $B$11)</f>
        <v>0</v>
      </c>
      <c r="J2" t="s">
        <v>18</v>
      </c>
      <c r="K2" s="4">
        <f ca="1">SUMIFS(operations[Amount], operations[Category], Expenses10[[#This Row],[Category]], operations[Month], $B$11)</f>
        <v>0</v>
      </c>
    </row>
    <row r="3" spans="1:11" x14ac:dyDescent="0.25">
      <c r="A3" t="s">
        <v>11</v>
      </c>
      <c r="B3" t="s">
        <v>12</v>
      </c>
      <c r="C3" s="4" t="e" cm="1" vm="2">
        <f t="array" aca="1" ref="C3" ca="1">INDIRECT("Flow" &amp; $B$11-1 &amp; "[@[Closing balance]]")</f>
        <v>#NAME?</v>
      </c>
      <c r="D3" s="4">
        <f ca="1">SUMIFS(operations[Amount],operations[Bank],Flow10[[#This Row],[Bank]],operations[Product],Flow10[[#This Row],[Product]],operations[Month],$B$11)</f>
        <v>0</v>
      </c>
      <c r="E3" s="4" t="e" vm="2">
        <f ca="1">Flow10[[#This Row],[Opening balance]]+Flow10[[#This Row],[Operations]]</f>
        <v>#NAME?</v>
      </c>
      <c r="G3" t="s">
        <v>28</v>
      </c>
      <c r="H3" s="4">
        <f ca="1">SUMIFS(operations[Amount], operations[Category], Incomes10[[#This Row],[Category]], operations[Month], $B$11)</f>
        <v>0</v>
      </c>
      <c r="J3" t="s">
        <v>22</v>
      </c>
      <c r="K3" s="4">
        <f ca="1">SUMIFS(operations[Amount], operations[Category], Expenses10[[#This Row],[Category]], operations[Month], $B$11)</f>
        <v>0</v>
      </c>
    </row>
    <row r="4" spans="1:11" x14ac:dyDescent="0.25">
      <c r="A4" t="s">
        <v>7</v>
      </c>
      <c r="B4" t="s">
        <v>8</v>
      </c>
      <c r="C4" s="4" t="e" cm="1" vm="2">
        <f t="array" aca="1" ref="C4" ca="1">INDIRECT("Flow" &amp; $B$11-1 &amp; "[@[Closing balance]]")</f>
        <v>#NAME?</v>
      </c>
      <c r="D4" s="4">
        <f ca="1">SUMIFS(operations[Amount],operations[Bank],Flow10[[#This Row],[Bank]],operations[Product],Flow10[[#This Row],[Product]],operations[Month],$B$11)</f>
        <v>0</v>
      </c>
      <c r="E4" s="4" t="e" vm="2">
        <f ca="1">Flow10[[#This Row],[Opening balance]]+Flow10[[#This Row],[Operations]]</f>
        <v>#NAME?</v>
      </c>
      <c r="G4" t="s">
        <v>29</v>
      </c>
      <c r="H4" s="4">
        <f ca="1">SUMIFS(operations[Amount], operations[Category], Incomes10[[#This Row],[Category]], operations[Month], $B$11)</f>
        <v>0</v>
      </c>
      <c r="J4" t="s">
        <v>20</v>
      </c>
      <c r="K4" s="4">
        <f ca="1">SUMIFS(operations[Amount], operations[Category], Expenses10[[#This Row],[Category]], operations[Month], $B$11)</f>
        <v>0</v>
      </c>
    </row>
    <row r="5" spans="1:11" x14ac:dyDescent="0.25">
      <c r="A5" t="s">
        <v>7</v>
      </c>
      <c r="B5" t="s">
        <v>9</v>
      </c>
      <c r="C5" s="4" t="e" cm="1" vm="2">
        <f t="array" aca="1" ref="C5" ca="1">INDIRECT("Flow" &amp; $B$11-1 &amp; "[@[Closing balance]]")</f>
        <v>#NAME?</v>
      </c>
      <c r="D5" s="4">
        <f ca="1">SUMIFS(operations[Amount],operations[Bank],Flow10[[#This Row],[Bank]],operations[Product],Flow10[[#This Row],[Product]],operations[Month],$B$11)</f>
        <v>0</v>
      </c>
      <c r="E5" s="4" t="e" vm="2">
        <f ca="1">Flow10[[#This Row],[Opening balance]]+Flow10[[#This Row],[Operations]]</f>
        <v>#NAME?</v>
      </c>
      <c r="G5" t="s">
        <v>30</v>
      </c>
      <c r="H5" s="4">
        <f ca="1">SUMIFS(operations[Amount], operations[Category], Incomes10[[#This Row],[Category]], operations[Month], $B$11)</f>
        <v>0</v>
      </c>
      <c r="J5" t="s">
        <v>17</v>
      </c>
      <c r="K5" s="4">
        <f ca="1">SUMIFS(operations[Amount], operations[Category], Expenses10[[#This Row],[Category]], operations[Month], $B$11)</f>
        <v>0</v>
      </c>
    </row>
    <row r="6" spans="1:11" x14ac:dyDescent="0.25">
      <c r="A6" t="s">
        <v>7</v>
      </c>
      <c r="B6" t="s">
        <v>10</v>
      </c>
      <c r="C6" s="4" t="e" cm="1" vm="2">
        <f t="array" aca="1" ref="C6" ca="1">INDIRECT("Flow" &amp; $B$11-1 &amp; "[@[Closing balance]]")</f>
        <v>#NAME?</v>
      </c>
      <c r="D6" s="4">
        <f ca="1">SUMIFS(operations[Amount],operations[Bank],Flow10[[#This Row],[Bank]],operations[Product],Flow10[[#This Row],[Product]],operations[Month],$B$11)</f>
        <v>0</v>
      </c>
      <c r="E6" s="4" t="e" vm="2">
        <f ca="1">Flow10[[#This Row],[Opening balance]]+Flow10[[#This Row],[Operations]]</f>
        <v>#NAME?</v>
      </c>
      <c r="G6" t="s">
        <v>26</v>
      </c>
      <c r="H6" s="4">
        <f ca="1">SUMIFS(operations[Amount], operations[Category], Incomes10[[#This Row],[Category]], operations[Month], $B$11)</f>
        <v>0</v>
      </c>
      <c r="J6" t="s">
        <v>21</v>
      </c>
      <c r="K6" s="4">
        <f ca="1">SUMIFS(operations[Amount], operations[Category], Expenses10[[#This Row],[Category]], operations[Month], $B$11)</f>
        <v>0</v>
      </c>
    </row>
    <row r="7" spans="1:11" x14ac:dyDescent="0.25">
      <c r="A7" t="s">
        <v>13</v>
      </c>
      <c r="B7" t="s">
        <v>15</v>
      </c>
      <c r="C7" s="4" t="e" cm="1" vm="2">
        <f t="array" aca="1" ref="C7" ca="1">INDIRECT("Flow" &amp; $B$11-1 &amp; "[@[Closing balance]]")</f>
        <v>#NAME?</v>
      </c>
      <c r="D7" s="4">
        <f ca="1">SUMIFS(operations[Amount],operations[Bank],Flow10[[#This Row],[Bank]],operations[Product],Flow10[[#This Row],[Product]],operations[Month],$B$11)</f>
        <v>0</v>
      </c>
      <c r="E7" s="4" t="e" vm="2">
        <f ca="1">Flow10[[#This Row],[Opening balance]]+Flow10[[#This Row],[Operations]]</f>
        <v>#NAME?</v>
      </c>
      <c r="G7" t="s">
        <v>27</v>
      </c>
      <c r="H7" s="4">
        <f ca="1">SUMIFS(operations[Amount], operations[Category], Incomes10[[#This Row],[Category]], operations[Month], $B$11)</f>
        <v>0</v>
      </c>
      <c r="J7" t="s">
        <v>19</v>
      </c>
      <c r="K7" s="4">
        <f ca="1">SUMIFS(operations[Amount], operations[Category], Expenses10[[#This Row],[Category]], operations[Month], $B$11)</f>
        <v>0</v>
      </c>
    </row>
    <row r="8" spans="1:11" x14ac:dyDescent="0.25">
      <c r="A8" t="s">
        <v>13</v>
      </c>
      <c r="B8" t="s">
        <v>14</v>
      </c>
      <c r="C8" s="4" t="e" cm="1" vm="2">
        <f t="array" aca="1" ref="C8" ca="1">INDIRECT("Flow" &amp; $B$11-1 &amp; "[@[Closing balance]]")</f>
        <v>#NAME?</v>
      </c>
      <c r="D8" s="4">
        <f ca="1">SUMIFS(operations[Amount],operations[Bank],Flow10[[#This Row],[Bank]],operations[Product],Flow10[[#This Row],[Product]],operations[Month],$B$11)</f>
        <v>0</v>
      </c>
      <c r="E8" s="4" t="e" vm="2">
        <f ca="1">Flow10[[#This Row],[Opening balance]]+Flow10[[#This Row],[Operations]]</f>
        <v>#NAME?</v>
      </c>
      <c r="G8" t="s">
        <v>34</v>
      </c>
      <c r="H8" s="4">
        <f ca="1">SUBTOTAL(9,Incomes10[Total])</f>
        <v>0</v>
      </c>
      <c r="J8" t="s">
        <v>24</v>
      </c>
      <c r="K8" s="4">
        <f ca="1">SUMIFS(operations[Amount], operations[Category], Expenses10[[#This Row],[Category]], operations[Month], $B$11)</f>
        <v>0</v>
      </c>
    </row>
    <row r="9" spans="1:11" x14ac:dyDescent="0.25">
      <c r="A9" t="s">
        <v>34</v>
      </c>
      <c r="C9" s="4" t="e" vm="2">
        <f ca="1">SUBTOTAL(9,Flow10[Opening balance])</f>
        <v>#NAME?</v>
      </c>
      <c r="D9" s="4">
        <f ca="1">SUBTOTAL(109,Flow10[Operations])</f>
        <v>0</v>
      </c>
      <c r="E9" s="4" t="e" vm="2">
        <f ca="1">SUBTOTAL(109,Flow10[Closing balance])</f>
        <v>#NAME?</v>
      </c>
      <c r="J9" t="s">
        <v>23</v>
      </c>
      <c r="K9" s="4">
        <f ca="1">SUMIFS(operations[Amount], operations[Category], Expenses10[[#This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Expenses10[[#This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SUBTOTAL(9,Expenses10[Total])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Total10[[#This Row],[Type]], operations[Month], $B$11)</f>
        <v>0</v>
      </c>
      <c r="C14" t="s">
        <v>16</v>
      </c>
    </row>
    <row r="15" spans="1:11" x14ac:dyDescent="0.25">
      <c r="A15" t="s">
        <v>33</v>
      </c>
      <c r="B15" s="4">
        <f ca="1">SUMIFS(operations[Amount], operations[Type], Total10[[#This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Total10[[#This Row],[Type]], operations[Month], $B$11)</f>
        <v>0</v>
      </c>
    </row>
    <row r="17" spans="1:2" x14ac:dyDescent="0.25">
      <c r="A17" t="s">
        <v>34</v>
      </c>
      <c r="B17" s="4">
        <f ca="1">SUBTOTAL(9,Total10[Total])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CEF4-9192-4521-9309-25E732642BC5}">
  <dimension ref="A1:K17"/>
  <sheetViews>
    <sheetView workbookViewId="0">
      <selection activeCell="J10" sqref="J10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 t="e" cm="1" vm="2">
        <f t="array" aca="1" ref="C2" ca="1">INDIRECT("Flow" &amp; $B$11-1 &amp; "[@[Closing balance]]")</f>
        <v>#NAME?</v>
      </c>
      <c r="D2" s="4">
        <f ca="1">SUMIFS(operations[Amount],operations[Bank],Flow11[[#This Row],[Bank]],operations[Product],Flow11[[#This Row],[Product]],operations[Month],$B$11)</f>
        <v>0</v>
      </c>
      <c r="E2" s="4" t="e" vm="2">
        <f ca="1">Flow11[[#This Row],[Opening balance]]+Flow11[[#This Row],[Operations]]</f>
        <v>#NAME?</v>
      </c>
      <c r="G2" t="s">
        <v>25</v>
      </c>
      <c r="H2" s="4">
        <f ca="1">SUMIFS(operations[Amount], operations[Category], Incomes11[[#This Row],[Category]], operations[Month], $B$11)</f>
        <v>0</v>
      </c>
      <c r="J2" t="s">
        <v>18</v>
      </c>
      <c r="K2" s="4">
        <f ca="1">SUMIFS(operations[Amount], operations[Category], Expenses11[[#This Row],[Category]], operations[Month], $B$11)</f>
        <v>0</v>
      </c>
    </row>
    <row r="3" spans="1:11" x14ac:dyDescent="0.25">
      <c r="A3" t="s">
        <v>11</v>
      </c>
      <c r="B3" t="s">
        <v>12</v>
      </c>
      <c r="C3" s="4" t="e" cm="1" vm="2">
        <f t="array" aca="1" ref="C3" ca="1">INDIRECT("Flow" &amp; $B$11-1 &amp; "[@[Closing balance]]")</f>
        <v>#NAME?</v>
      </c>
      <c r="D3" s="4">
        <f ca="1">SUMIFS(operations[Amount],operations[Bank],Flow11[[#This Row],[Bank]],operations[Product],Flow11[[#This Row],[Product]],operations[Month],$B$11)</f>
        <v>0</v>
      </c>
      <c r="E3" s="4" t="e" vm="2">
        <f ca="1">Flow11[[#This Row],[Opening balance]]+Flow11[[#This Row],[Operations]]</f>
        <v>#NAME?</v>
      </c>
      <c r="G3" t="s">
        <v>28</v>
      </c>
      <c r="H3" s="4">
        <f ca="1">SUMIFS(operations[Amount], operations[Category], Incomes11[[#This Row],[Category]], operations[Month], $B$11)</f>
        <v>0</v>
      </c>
      <c r="J3" t="s">
        <v>22</v>
      </c>
      <c r="K3" s="4">
        <f ca="1">SUMIFS(operations[Amount], operations[Category], Expenses11[[#This Row],[Category]], operations[Month], $B$11)</f>
        <v>0</v>
      </c>
    </row>
    <row r="4" spans="1:11" x14ac:dyDescent="0.25">
      <c r="A4" t="s">
        <v>7</v>
      </c>
      <c r="B4" t="s">
        <v>8</v>
      </c>
      <c r="C4" s="4" t="e" cm="1" vm="2">
        <f t="array" aca="1" ref="C4" ca="1">INDIRECT("Flow" &amp; $B$11-1 &amp; "[@[Closing balance]]")</f>
        <v>#NAME?</v>
      </c>
      <c r="D4" s="4">
        <f ca="1">SUMIFS(operations[Amount],operations[Bank],Flow11[[#This Row],[Bank]],operations[Product],Flow11[[#This Row],[Product]],operations[Month],$B$11)</f>
        <v>0</v>
      </c>
      <c r="E4" s="4" t="e" vm="2">
        <f ca="1">Flow11[[#This Row],[Opening balance]]+Flow11[[#This Row],[Operations]]</f>
        <v>#NAME?</v>
      </c>
      <c r="G4" t="s">
        <v>29</v>
      </c>
      <c r="H4" s="4">
        <f ca="1">SUMIFS(operations[Amount], operations[Category], Incomes11[[#This Row],[Category]], operations[Month], $B$11)</f>
        <v>0</v>
      </c>
      <c r="J4" t="s">
        <v>20</v>
      </c>
      <c r="K4" s="4">
        <f ca="1">SUMIFS(operations[Amount], operations[Category], Expenses11[[#This Row],[Category]], operations[Month], $B$11)</f>
        <v>0</v>
      </c>
    </row>
    <row r="5" spans="1:11" x14ac:dyDescent="0.25">
      <c r="A5" t="s">
        <v>7</v>
      </c>
      <c r="B5" t="s">
        <v>9</v>
      </c>
      <c r="C5" s="4" t="e" cm="1" vm="2">
        <f t="array" aca="1" ref="C5" ca="1">INDIRECT("Flow" &amp; $B$11-1 &amp; "[@[Closing balance]]")</f>
        <v>#NAME?</v>
      </c>
      <c r="D5" s="4">
        <f ca="1">SUMIFS(operations[Amount],operations[Bank],Flow11[[#This Row],[Bank]],operations[Product],Flow11[[#This Row],[Product]],operations[Month],$B$11)</f>
        <v>0</v>
      </c>
      <c r="E5" s="4" t="e" vm="2">
        <f ca="1">Flow11[[#This Row],[Opening balance]]+Flow11[[#This Row],[Operations]]</f>
        <v>#NAME?</v>
      </c>
      <c r="G5" t="s">
        <v>30</v>
      </c>
      <c r="H5" s="4">
        <f ca="1">SUMIFS(operations[Amount], operations[Category], Incomes11[[#This Row],[Category]], operations[Month], $B$11)</f>
        <v>0</v>
      </c>
      <c r="J5" t="s">
        <v>17</v>
      </c>
      <c r="K5" s="4">
        <f ca="1">SUMIFS(operations[Amount], operations[Category], Expenses11[[#This Row],[Category]], operations[Month], $B$11)</f>
        <v>0</v>
      </c>
    </row>
    <row r="6" spans="1:11" x14ac:dyDescent="0.25">
      <c r="A6" t="s">
        <v>7</v>
      </c>
      <c r="B6" t="s">
        <v>10</v>
      </c>
      <c r="C6" s="4" t="e" cm="1" vm="2">
        <f t="array" aca="1" ref="C6" ca="1">INDIRECT("Flow" &amp; $B$11-1 &amp; "[@[Closing balance]]")</f>
        <v>#NAME?</v>
      </c>
      <c r="D6" s="4">
        <f ca="1">SUMIFS(operations[Amount],operations[Bank],Flow11[[#This Row],[Bank]],operations[Product],Flow11[[#This Row],[Product]],operations[Month],$B$11)</f>
        <v>0</v>
      </c>
      <c r="E6" s="4" t="e" vm="2">
        <f ca="1">Flow11[[#This Row],[Opening balance]]+Flow11[[#This Row],[Operations]]</f>
        <v>#NAME?</v>
      </c>
      <c r="G6" t="s">
        <v>26</v>
      </c>
      <c r="H6" s="4">
        <f ca="1">SUMIFS(operations[Amount], operations[Category], Incomes11[[#This Row],[Category]], operations[Month], $B$11)</f>
        <v>0</v>
      </c>
      <c r="J6" t="s">
        <v>21</v>
      </c>
      <c r="K6" s="4">
        <f ca="1">SUMIFS(operations[Amount], operations[Category], Expenses11[[#This Row],[Category]], operations[Month], $B$11)</f>
        <v>0</v>
      </c>
    </row>
    <row r="7" spans="1:11" x14ac:dyDescent="0.25">
      <c r="A7" t="s">
        <v>13</v>
      </c>
      <c r="B7" t="s">
        <v>15</v>
      </c>
      <c r="C7" s="4" t="e" cm="1" vm="2">
        <f t="array" aca="1" ref="C7" ca="1">INDIRECT("Flow" &amp; $B$11-1 &amp; "[@[Closing balance]]")</f>
        <v>#NAME?</v>
      </c>
      <c r="D7" s="4">
        <f ca="1">SUMIFS(operations[Amount],operations[Bank],Flow11[[#This Row],[Bank]],operations[Product],Flow11[[#This Row],[Product]],operations[Month],$B$11)</f>
        <v>0</v>
      </c>
      <c r="E7" s="4" t="e" vm="2">
        <f ca="1">Flow11[[#This Row],[Opening balance]]+Flow11[[#This Row],[Operations]]</f>
        <v>#NAME?</v>
      </c>
      <c r="G7" t="s">
        <v>27</v>
      </c>
      <c r="H7" s="4">
        <f ca="1">SUMIFS(operations[Amount], operations[Category], Incomes11[[#This Row],[Category]], operations[Month], $B$11)</f>
        <v>0</v>
      </c>
      <c r="J7" t="s">
        <v>19</v>
      </c>
      <c r="K7" s="4">
        <f ca="1">SUMIFS(operations[Amount], operations[Category], Expenses11[[#This Row],[Category]], operations[Month], $B$11)</f>
        <v>0</v>
      </c>
    </row>
    <row r="8" spans="1:11" x14ac:dyDescent="0.25">
      <c r="A8" t="s">
        <v>13</v>
      </c>
      <c r="B8" t="s">
        <v>14</v>
      </c>
      <c r="C8" s="4" t="e" cm="1" vm="2">
        <f t="array" aca="1" ref="C8" ca="1">INDIRECT("Flow" &amp; $B$11-1 &amp; "[@[Closing balance]]")</f>
        <v>#NAME?</v>
      </c>
      <c r="D8" s="4">
        <f ca="1">SUMIFS(operations[Amount],operations[Bank],Flow11[[#This Row],[Bank]],operations[Product],Flow11[[#This Row],[Product]],operations[Month],$B$11)</f>
        <v>0</v>
      </c>
      <c r="E8" s="4" t="e" vm="2">
        <f ca="1">Flow11[[#This Row],[Opening balance]]+Flow11[[#This Row],[Operations]]</f>
        <v>#NAME?</v>
      </c>
      <c r="G8" t="s">
        <v>34</v>
      </c>
      <c r="H8" s="4">
        <f ca="1">SUBTOTAL(9,Incomes11[Total])</f>
        <v>0</v>
      </c>
      <c r="J8" t="s">
        <v>24</v>
      </c>
      <c r="K8" s="4">
        <f ca="1">SUMIFS(operations[Amount], operations[Category], Expenses11[[#This Row],[Category]], operations[Month], $B$11)</f>
        <v>0</v>
      </c>
    </row>
    <row r="9" spans="1:11" x14ac:dyDescent="0.25">
      <c r="A9" t="s">
        <v>34</v>
      </c>
      <c r="C9" s="4" t="e" vm="2">
        <f ca="1">SUBTOTAL(9,Flow11[Opening balance])</f>
        <v>#NAME?</v>
      </c>
      <c r="D9" s="4">
        <f ca="1">SUBTOTAL(109,Flow11[Operations])</f>
        <v>0</v>
      </c>
      <c r="E9" s="4" t="e" vm="2">
        <f ca="1">SUBTOTAL(109,Flow11[Closing balance])</f>
        <v>#NAME?</v>
      </c>
      <c r="J9" t="s">
        <v>23</v>
      </c>
      <c r="K9" s="4">
        <f ca="1">SUMIFS(operations[Amount], operations[Category], Expenses11[[#This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Expenses11[[#This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SUBTOTAL(9,Expenses11[Total])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Total11[[#This Row],[Type]], operations[Month], $B$11)</f>
        <v>0</v>
      </c>
    </row>
    <row r="15" spans="1:11" x14ac:dyDescent="0.25">
      <c r="A15" t="s">
        <v>33</v>
      </c>
      <c r="B15" s="4">
        <f ca="1">SUMIFS(operations[Amount], operations[Type], Total11[[#This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Total11[[#This Row],[Type]], operations[Month], $B$11)</f>
        <v>0</v>
      </c>
    </row>
    <row r="17" spans="1:2" x14ac:dyDescent="0.25">
      <c r="A17" t="s">
        <v>34</v>
      </c>
      <c r="B17" s="4">
        <f ca="1">SUBTOTAL(9,Total11[Total])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93D4-64A7-4623-8672-EC8E35A0B823}">
  <dimension ref="A1:K17"/>
  <sheetViews>
    <sheetView workbookViewId="0">
      <selection activeCell="C2" sqref="C2"/>
    </sheetView>
  </sheetViews>
  <sheetFormatPr defaultRowHeight="15" x14ac:dyDescent="0.25"/>
  <cols>
    <col min="1" max="1" width="31.42578125" customWidth="1"/>
    <col min="2" max="2" width="28.42578125" customWidth="1"/>
    <col min="3" max="3" width="24.7109375" customWidth="1"/>
    <col min="4" max="4" width="19.140625" customWidth="1"/>
    <col min="5" max="5" width="16.5703125" customWidth="1"/>
    <col min="7" max="7" width="18" customWidth="1"/>
    <col min="8" max="8" width="24.42578125" customWidth="1"/>
    <col min="10" max="10" width="16.42578125" customWidth="1"/>
    <col min="11" max="11" width="14.140625" customWidth="1"/>
  </cols>
  <sheetData>
    <row r="1" spans="1:11" x14ac:dyDescent="0.25">
      <c r="A1" t="s">
        <v>0</v>
      </c>
      <c r="B1" t="s">
        <v>2</v>
      </c>
      <c r="C1" t="s">
        <v>37</v>
      </c>
      <c r="D1" t="s">
        <v>36</v>
      </c>
      <c r="E1" t="s">
        <v>35</v>
      </c>
      <c r="G1" t="s">
        <v>3</v>
      </c>
      <c r="H1" t="s">
        <v>34</v>
      </c>
      <c r="J1" t="s">
        <v>3</v>
      </c>
      <c r="K1" t="s">
        <v>34</v>
      </c>
    </row>
    <row r="2" spans="1:11" x14ac:dyDescent="0.25">
      <c r="A2" t="s">
        <v>11</v>
      </c>
      <c r="B2" t="s">
        <v>8</v>
      </c>
      <c r="C2" s="4" t="e" cm="1" vm="2">
        <f t="array" aca="1" ref="C2" ca="1">INDIRECT("Flow" &amp; $B$11-1 &amp; "[@[Closing balance]]")</f>
        <v>#NAME?</v>
      </c>
      <c r="D2" s="4">
        <f ca="1">SUMIFS(operations[Amount],operations[Bank],Flow12[[#This Row],[Bank]],operations[Product],Flow12[[#This Row],[Product]],operations[Month],$B$11)</f>
        <v>0</v>
      </c>
      <c r="E2" s="4" t="e" vm="2">
        <f ca="1">Flow12[[#This Row],[Opening balance]]+Flow12[[#This Row],[Operations]]</f>
        <v>#NAME?</v>
      </c>
      <c r="G2" t="s">
        <v>25</v>
      </c>
      <c r="H2" s="4">
        <f ca="1">SUMIFS(operations[Amount], operations[Category], Incomes12[[#This Row],[Category]], operations[Month], $B$11)</f>
        <v>0</v>
      </c>
      <c r="J2" t="s">
        <v>18</v>
      </c>
      <c r="K2" s="4">
        <f ca="1">SUMIFS(operations[Amount], operations[Category], Expenses12[[#This Row],[Category]], operations[Month], $B$11)</f>
        <v>0</v>
      </c>
    </row>
    <row r="3" spans="1:11" x14ac:dyDescent="0.25">
      <c r="A3" t="s">
        <v>11</v>
      </c>
      <c r="B3" t="s">
        <v>12</v>
      </c>
      <c r="C3" s="4" t="e" cm="1" vm="2">
        <f t="array" aca="1" ref="C3" ca="1">INDIRECT("Flow" &amp; $B$11-1 &amp; "[@[Closing balance]]")</f>
        <v>#NAME?</v>
      </c>
      <c r="D3" s="4">
        <f ca="1">SUMIFS(operations[Amount],operations[Bank],Flow12[[#This Row],[Bank]],operations[Product],Flow12[[#This Row],[Product]],operations[Month],$B$11)</f>
        <v>0</v>
      </c>
      <c r="E3" s="4" t="e" vm="2">
        <f ca="1">Flow12[[#This Row],[Opening balance]]+Flow12[[#This Row],[Operations]]</f>
        <v>#NAME?</v>
      </c>
      <c r="G3" t="s">
        <v>28</v>
      </c>
      <c r="H3" s="4">
        <f ca="1">SUMIFS(operations[Amount], operations[Category], Incomes12[[#This Row],[Category]], operations[Month], $B$11)</f>
        <v>0</v>
      </c>
      <c r="J3" t="s">
        <v>22</v>
      </c>
      <c r="K3" s="4">
        <f ca="1">SUMIFS(operations[Amount], operations[Category], Expenses12[[#This Row],[Category]], operations[Month], $B$11)</f>
        <v>0</v>
      </c>
    </row>
    <row r="4" spans="1:11" x14ac:dyDescent="0.25">
      <c r="A4" t="s">
        <v>7</v>
      </c>
      <c r="B4" t="s">
        <v>8</v>
      </c>
      <c r="C4" s="4" t="e" cm="1" vm="2">
        <f t="array" aca="1" ref="C4" ca="1">INDIRECT("Flow" &amp; $B$11-1 &amp; "[@[Closing balance]]")</f>
        <v>#NAME?</v>
      </c>
      <c r="D4" s="4">
        <f ca="1">SUMIFS(operations[Amount],operations[Bank],Flow12[[#This Row],[Bank]],operations[Product],Flow12[[#This Row],[Product]],operations[Month],$B$11)</f>
        <v>0</v>
      </c>
      <c r="E4" s="4" t="e" vm="2">
        <f ca="1">Flow12[[#This Row],[Opening balance]]+Flow12[[#This Row],[Operations]]</f>
        <v>#NAME?</v>
      </c>
      <c r="G4" t="s">
        <v>29</v>
      </c>
      <c r="H4" s="4">
        <f ca="1">SUMIFS(operations[Amount], operations[Category], Incomes12[[#This Row],[Category]], operations[Month], $B$11)</f>
        <v>0</v>
      </c>
      <c r="J4" t="s">
        <v>20</v>
      </c>
      <c r="K4" s="4">
        <f ca="1">SUMIFS(operations[Amount], operations[Category], Expenses12[[#This Row],[Category]], operations[Month], $B$11)</f>
        <v>0</v>
      </c>
    </row>
    <row r="5" spans="1:11" x14ac:dyDescent="0.25">
      <c r="A5" t="s">
        <v>7</v>
      </c>
      <c r="B5" t="s">
        <v>9</v>
      </c>
      <c r="C5" s="4" t="e" cm="1" vm="2">
        <f t="array" aca="1" ref="C5" ca="1">INDIRECT("Flow" &amp; $B$11-1 &amp; "[@[Closing balance]]")</f>
        <v>#NAME?</v>
      </c>
      <c r="D5" s="4">
        <f ca="1">SUMIFS(operations[Amount],operations[Bank],Flow12[[#This Row],[Bank]],operations[Product],Flow12[[#This Row],[Product]],operations[Month],$B$11)</f>
        <v>0</v>
      </c>
      <c r="E5" s="4" t="e" vm="2">
        <f ca="1">Flow12[[#This Row],[Opening balance]]+Flow12[[#This Row],[Operations]]</f>
        <v>#NAME?</v>
      </c>
      <c r="G5" t="s">
        <v>30</v>
      </c>
      <c r="H5" s="4">
        <f ca="1">SUMIFS(operations[Amount], operations[Category], Incomes12[[#This Row],[Category]], operations[Month], $B$11)</f>
        <v>0</v>
      </c>
      <c r="J5" t="s">
        <v>17</v>
      </c>
      <c r="K5" s="4">
        <f ca="1">SUMIFS(operations[Amount], operations[Category], Expenses12[[#This Row],[Category]], operations[Month], $B$11)</f>
        <v>0</v>
      </c>
    </row>
    <row r="6" spans="1:11" x14ac:dyDescent="0.25">
      <c r="A6" t="s">
        <v>7</v>
      </c>
      <c r="B6" t="s">
        <v>10</v>
      </c>
      <c r="C6" s="4" t="e" cm="1" vm="2">
        <f t="array" aca="1" ref="C6" ca="1">INDIRECT("Flow" &amp; $B$11-1 &amp; "[@[Closing balance]]")</f>
        <v>#NAME?</v>
      </c>
      <c r="D6" s="4">
        <f ca="1">SUMIFS(operations[Amount],operations[Bank],Flow12[[#This Row],[Bank]],operations[Product],Flow12[[#This Row],[Product]],operations[Month],$B$11)</f>
        <v>0</v>
      </c>
      <c r="E6" s="4" t="e" vm="2">
        <f ca="1">Flow12[[#This Row],[Opening balance]]+Flow12[[#This Row],[Operations]]</f>
        <v>#NAME?</v>
      </c>
      <c r="G6" t="s">
        <v>26</v>
      </c>
      <c r="H6" s="4">
        <f ca="1">SUMIFS(operations[Amount], operations[Category], Incomes12[[#This Row],[Category]], operations[Month], $B$11)</f>
        <v>0</v>
      </c>
      <c r="J6" t="s">
        <v>21</v>
      </c>
      <c r="K6" s="4">
        <f ca="1">SUMIFS(operations[Amount], operations[Category], Expenses12[[#This Row],[Category]], operations[Month], $B$11)</f>
        <v>0</v>
      </c>
    </row>
    <row r="7" spans="1:11" x14ac:dyDescent="0.25">
      <c r="A7" t="s">
        <v>13</v>
      </c>
      <c r="B7" t="s">
        <v>15</v>
      </c>
      <c r="C7" s="4" t="e" cm="1" vm="2">
        <f t="array" aca="1" ref="C7" ca="1">INDIRECT("Flow" &amp; $B$11-1 &amp; "[@[Closing balance]]")</f>
        <v>#NAME?</v>
      </c>
      <c r="D7" s="4">
        <f ca="1">SUMIFS(operations[Amount],operations[Bank],Flow12[[#This Row],[Bank]],operations[Product],Flow12[[#This Row],[Product]],operations[Month],$B$11)</f>
        <v>0</v>
      </c>
      <c r="E7" s="4" t="e" vm="2">
        <f ca="1">Flow12[[#This Row],[Opening balance]]+Flow12[[#This Row],[Operations]]</f>
        <v>#NAME?</v>
      </c>
      <c r="G7" t="s">
        <v>27</v>
      </c>
      <c r="H7" s="4">
        <f ca="1">SUMIFS(operations[Amount], operations[Category], Incomes12[[#This Row],[Category]], operations[Month], $B$11)</f>
        <v>0</v>
      </c>
      <c r="J7" t="s">
        <v>19</v>
      </c>
      <c r="K7" s="4">
        <f ca="1">SUMIFS(operations[Amount], operations[Category], Expenses12[[#This Row],[Category]], operations[Month], $B$11)</f>
        <v>0</v>
      </c>
    </row>
    <row r="8" spans="1:11" x14ac:dyDescent="0.25">
      <c r="A8" t="s">
        <v>13</v>
      </c>
      <c r="B8" t="s">
        <v>14</v>
      </c>
      <c r="C8" s="4" t="e" cm="1" vm="2">
        <f t="array" aca="1" ref="C8" ca="1">INDIRECT("Flow" &amp; $B$11-1 &amp; "[@[Closing balance]]")</f>
        <v>#NAME?</v>
      </c>
      <c r="D8" s="4">
        <f ca="1">SUMIFS(operations[Amount],operations[Bank],Flow12[[#This Row],[Bank]],operations[Product],Flow12[[#This Row],[Product]],operations[Month],$B$11)</f>
        <v>0</v>
      </c>
      <c r="E8" s="4" t="e" vm="2">
        <f ca="1">Flow12[[#This Row],[Opening balance]]+Flow12[[#This Row],[Operations]]</f>
        <v>#NAME?</v>
      </c>
      <c r="G8" t="s">
        <v>34</v>
      </c>
      <c r="H8" s="4">
        <f ca="1">SUBTOTAL(9,Incomes12[Total])</f>
        <v>0</v>
      </c>
      <c r="J8" t="s">
        <v>24</v>
      </c>
      <c r="K8" s="4">
        <f ca="1">SUMIFS(operations[Amount], operations[Category], Expenses12[[#This Row],[Category]], operations[Month], $B$11)</f>
        <v>0</v>
      </c>
    </row>
    <row r="9" spans="1:11" x14ac:dyDescent="0.25">
      <c r="A9" t="s">
        <v>34</v>
      </c>
      <c r="C9" s="4" t="e" vm="2">
        <f ca="1">SUBTOTAL(9,Flow12[Opening balance])</f>
        <v>#NAME?</v>
      </c>
      <c r="D9" s="4">
        <f ca="1">SUBTOTAL(109,Flow12[Operations])</f>
        <v>0</v>
      </c>
      <c r="E9" s="4" t="e" vm="2">
        <f ca="1">SUBTOTAL(109,Flow12[Closing balance])</f>
        <v>#NAME?</v>
      </c>
      <c r="J9" t="s">
        <v>23</v>
      </c>
      <c r="K9" s="4">
        <f ca="1">SUMIFS(operations[Amount], operations[Category], Expenses12[[#This Row],[Category]], operations[Month], $B$11)</f>
        <v>0</v>
      </c>
    </row>
    <row r="10" spans="1:11" x14ac:dyDescent="0.25">
      <c r="J10" t="s">
        <v>16</v>
      </c>
      <c r="K10" s="4">
        <f ca="1">SUMIFS(operations[Amount], operations[Category], Expenses12[[#This Row],[Category]], operations[Month], $B$11)</f>
        <v>0</v>
      </c>
    </row>
    <row r="11" spans="1:11" ht="15.75" thickBot="1" x14ac:dyDescent="0.3">
      <c r="A11" s="5" t="s">
        <v>6</v>
      </c>
      <c r="B11" s="19" t="e" cm="1" vm="1">
        <f t="array" aca="1" ref="B11" ca="1">_xlfn.TEXTAFTER(CELL("filename",A1),"]")</f>
        <v>#NAME?</v>
      </c>
      <c r="C11" s="6"/>
      <c r="J11" t="s">
        <v>34</v>
      </c>
      <c r="K11" s="4">
        <f ca="1">SUBTOTAL(9,Expenses12[Total])</f>
        <v>0</v>
      </c>
    </row>
    <row r="12" spans="1:11" ht="15.75" thickTop="1" x14ac:dyDescent="0.25"/>
    <row r="13" spans="1:11" x14ac:dyDescent="0.25">
      <c r="A13" t="s">
        <v>4</v>
      </c>
      <c r="B13" t="s">
        <v>34</v>
      </c>
    </row>
    <row r="14" spans="1:11" x14ac:dyDescent="0.25">
      <c r="A14" t="s">
        <v>32</v>
      </c>
      <c r="B14" s="4">
        <f ca="1">SUMIFS(operations[Amount], operations[Type], Total12[[#This Row],[Type]], operations[Month], $B$11)</f>
        <v>0</v>
      </c>
    </row>
    <row r="15" spans="1:11" x14ac:dyDescent="0.25">
      <c r="A15" t="s">
        <v>33</v>
      </c>
      <c r="B15" s="4">
        <f ca="1">SUMIFS(operations[Amount], operations[Type], Total12[[#This Row],[Type]], operations[Month], $B$11)</f>
        <v>0</v>
      </c>
    </row>
    <row r="16" spans="1:11" x14ac:dyDescent="0.25">
      <c r="A16" t="s">
        <v>31</v>
      </c>
      <c r="B16" s="4">
        <f ca="1">SUMIFS(operations[Amount], operations[Type], Total12[[#This Row],[Type]], operations[Month], $B$11)</f>
        <v>0</v>
      </c>
    </row>
    <row r="17" spans="1:2" x14ac:dyDescent="0.25">
      <c r="A17" t="s">
        <v>34</v>
      </c>
      <c r="B17" s="4">
        <f ca="1">SUBTOTAL(9,Total12[Total])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operations</vt:lpstr>
      <vt:lpstr>Dictionary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en-A013-23</cp:lastModifiedBy>
  <dcterms:created xsi:type="dcterms:W3CDTF">2024-12-14T15:11:08Z</dcterms:created>
  <dcterms:modified xsi:type="dcterms:W3CDTF">2025-12-03T15:28:49Z</dcterms:modified>
</cp:coreProperties>
</file>