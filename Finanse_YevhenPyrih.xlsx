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valdi\Завантаження\Bussiness data processing\"/>
    </mc:Choice>
  </mc:AlternateContent>
  <xr:revisionPtr revIDLastSave="0" documentId="13_ncr:1_{86757665-C18E-457E-A90E-4667D43F2434}" xr6:coauthVersionLast="47" xr6:coauthVersionMax="47" xr10:uidLastSave="{00000000-0000-0000-0000-000000000000}"/>
  <bookViews>
    <workbookView xWindow="-108" yWindow="-108" windowWidth="23256" windowHeight="12720" activeTab="5" xr2:uid="{19EE711A-3283-4873-9107-9C9869A047C7}"/>
  </bookViews>
  <sheets>
    <sheet name="operations" sheetId="2" r:id="rId1"/>
    <sheet name="Summary1" sheetId="19" r:id="rId2"/>
    <sheet name="Summary2" sheetId="20" r:id="rId3"/>
    <sheet name="Summary3" sheetId="21" r:id="rId4"/>
    <sheet name="Dictionary" sheetId="3" r:id="rId5"/>
    <sheet name="1" sheetId="4" r:id="rId6"/>
    <sheet name="2" sheetId="8" r:id="rId7"/>
    <sheet name="3" sheetId="9" r:id="rId8"/>
    <sheet name="4" sheetId="10" r:id="rId9"/>
    <sheet name="5" sheetId="11" r:id="rId10"/>
    <sheet name="6" sheetId="12" r:id="rId11"/>
    <sheet name="7" sheetId="13" r:id="rId12"/>
    <sheet name="8" sheetId="14" r:id="rId13"/>
    <sheet name="9" sheetId="15" r:id="rId14"/>
    <sheet name="10" sheetId="16" r:id="rId15"/>
    <sheet name="11" sheetId="17" r:id="rId16"/>
    <sheet name="12" sheetId="18" r:id="rId17"/>
  </sheet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6" i="2" l="1"/>
  <c r="B11" i="18" a="1"/>
  <c r="B11" i="18" s="1"/>
  <c r="B11" i="17" a="1"/>
  <c r="B11" i="17" s="1"/>
  <c r="B11" i="16" a="1"/>
  <c r="B11" i="16" s="1"/>
  <c r="B11" i="15" a="1"/>
  <c r="B11" i="15" s="1"/>
  <c r="B11" i="14" a="1"/>
  <c r="B11" i="14" s="1"/>
  <c r="B11" i="13" a="1"/>
  <c r="B11" i="13" s="1"/>
  <c r="B11" i="12" a="1"/>
  <c r="B11" i="12" s="1"/>
  <c r="B11" i="11" a="1"/>
  <c r="B11" i="11" s="1"/>
  <c r="B11" i="10" a="1"/>
  <c r="B11" i="10" s="1"/>
  <c r="B11" i="9" a="1"/>
  <c r="B11" i="9" s="1"/>
  <c r="B11" i="4" a="1"/>
  <c r="B11" i="4" s="1"/>
  <c r="B11" i="8" a="1"/>
  <c r="B11" i="8" s="1"/>
  <c r="G30" i="2" l="1"/>
  <c r="G1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" i="2"/>
  <c r="C9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" i="2"/>
  <c r="N15" i="20" l="1"/>
  <c r="D15" i="20"/>
  <c r="E15" i="20"/>
  <c r="F15" i="20"/>
  <c r="K15" i="20"/>
  <c r="G15" i="20"/>
  <c r="H15" i="20"/>
  <c r="J15" i="20"/>
  <c r="I15" i="20"/>
  <c r="C15" i="20"/>
  <c r="L15" i="20"/>
  <c r="M15" i="20"/>
  <c r="J7" i="20"/>
  <c r="K7" i="20"/>
  <c r="L7" i="20"/>
  <c r="M7" i="20"/>
  <c r="N7" i="20"/>
  <c r="G7" i="20"/>
  <c r="C7" i="20"/>
  <c r="F7" i="20"/>
  <c r="D7" i="20"/>
  <c r="E7" i="20"/>
  <c r="H7" i="20"/>
  <c r="I7" i="20"/>
  <c r="E9" i="20"/>
  <c r="F9" i="20"/>
  <c r="G9" i="20"/>
  <c r="H9" i="20"/>
  <c r="I9" i="20"/>
  <c r="J9" i="20"/>
  <c r="K9" i="20"/>
  <c r="L9" i="20"/>
  <c r="C9" i="20"/>
  <c r="M9" i="20"/>
  <c r="N9" i="20"/>
  <c r="D9" i="20"/>
  <c r="G2" i="20"/>
  <c r="H2" i="20"/>
  <c r="I2" i="20"/>
  <c r="J2" i="20"/>
  <c r="K2" i="20"/>
  <c r="L2" i="20"/>
  <c r="M2" i="20"/>
  <c r="D2" i="20"/>
  <c r="N2" i="20"/>
  <c r="C2" i="20"/>
  <c r="E2" i="20"/>
  <c r="F2" i="20"/>
  <c r="I14" i="20"/>
  <c r="J14" i="20"/>
  <c r="K14" i="20"/>
  <c r="L14" i="20"/>
  <c r="M14" i="20"/>
  <c r="N14" i="20"/>
  <c r="C14" i="20"/>
  <c r="E14" i="20"/>
  <c r="F14" i="20"/>
  <c r="D14" i="20"/>
  <c r="G14" i="20"/>
  <c r="H14" i="20"/>
  <c r="F17" i="20"/>
  <c r="G17" i="20"/>
  <c r="H17" i="20"/>
  <c r="I17" i="20"/>
  <c r="J17" i="20"/>
  <c r="C17" i="20"/>
  <c r="K17" i="20"/>
  <c r="L17" i="20"/>
  <c r="M17" i="20"/>
  <c r="N17" i="20"/>
  <c r="D17" i="20"/>
  <c r="E17" i="20"/>
  <c r="D6" i="20"/>
  <c r="E6" i="20"/>
  <c r="F6" i="20"/>
  <c r="G6" i="20"/>
  <c r="H6" i="20"/>
  <c r="I6" i="20"/>
  <c r="J6" i="20"/>
  <c r="K6" i="20"/>
  <c r="L6" i="20"/>
  <c r="M6" i="20"/>
  <c r="N6" i="20"/>
  <c r="C6" i="20"/>
  <c r="M8" i="20"/>
  <c r="D8" i="20"/>
  <c r="C8" i="20"/>
  <c r="E8" i="20"/>
  <c r="F8" i="20"/>
  <c r="G8" i="20"/>
  <c r="H8" i="20"/>
  <c r="I8" i="20"/>
  <c r="J8" i="20"/>
  <c r="K8" i="20"/>
  <c r="L8" i="20"/>
  <c r="N8" i="20"/>
  <c r="H19" i="20"/>
  <c r="H20" i="20" s="1"/>
  <c r="I19" i="20"/>
  <c r="I20" i="20" s="1"/>
  <c r="J19" i="20"/>
  <c r="J20" i="20" s="1"/>
  <c r="K19" i="20"/>
  <c r="K20" i="20" s="1"/>
  <c r="L19" i="20"/>
  <c r="L20" i="20" s="1"/>
  <c r="M19" i="20"/>
  <c r="M20" i="20" s="1"/>
  <c r="N19" i="20"/>
  <c r="N20" i="20" s="1"/>
  <c r="E19" i="20"/>
  <c r="E20" i="20" s="1"/>
  <c r="D19" i="20"/>
  <c r="D20" i="20" s="1"/>
  <c r="F19" i="20"/>
  <c r="F20" i="20" s="1"/>
  <c r="C19" i="20"/>
  <c r="G19" i="20"/>
  <c r="G20" i="20" s="1"/>
  <c r="L4" i="20"/>
  <c r="M4" i="20"/>
  <c r="C4" i="20"/>
  <c r="I4" i="20"/>
  <c r="N4" i="20"/>
  <c r="H4" i="20"/>
  <c r="D4" i="20"/>
  <c r="E4" i="20"/>
  <c r="F4" i="20"/>
  <c r="G4" i="20"/>
  <c r="J4" i="20"/>
  <c r="K4" i="20"/>
  <c r="M3" i="20"/>
  <c r="N3" i="20"/>
  <c r="J3" i="20"/>
  <c r="D3" i="20"/>
  <c r="I3" i="20"/>
  <c r="E3" i="20"/>
  <c r="F3" i="20"/>
  <c r="H3" i="20"/>
  <c r="G3" i="20"/>
  <c r="K3" i="20"/>
  <c r="L3" i="20"/>
  <c r="C3" i="20"/>
  <c r="D5" i="20"/>
  <c r="C5" i="20"/>
  <c r="E5" i="20"/>
  <c r="F5" i="20"/>
  <c r="G5" i="20"/>
  <c r="H5" i="20"/>
  <c r="I5" i="20"/>
  <c r="N5" i="20"/>
  <c r="J5" i="20"/>
  <c r="K5" i="20"/>
  <c r="M5" i="20"/>
  <c r="L5" i="20"/>
  <c r="K16" i="20"/>
  <c r="L16" i="20"/>
  <c r="M16" i="20"/>
  <c r="N16" i="20"/>
  <c r="H16" i="20"/>
  <c r="C16" i="20"/>
  <c r="D16" i="20"/>
  <c r="G16" i="20"/>
  <c r="E16" i="20"/>
  <c r="F16" i="20"/>
  <c r="I16" i="20"/>
  <c r="J16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H7" i="9"/>
  <c r="K10" i="20"/>
  <c r="L10" i="20"/>
  <c r="D10" i="20"/>
  <c r="E10" i="20"/>
  <c r="F10" i="20"/>
  <c r="G10" i="20"/>
  <c r="H10" i="20"/>
  <c r="C10" i="20"/>
  <c r="I10" i="20"/>
  <c r="J10" i="20"/>
  <c r="M10" i="20"/>
  <c r="N10" i="20"/>
  <c r="D13" i="20"/>
  <c r="E13" i="20"/>
  <c r="F13" i="20"/>
  <c r="G13" i="20"/>
  <c r="H13" i="20"/>
  <c r="I13" i="20"/>
  <c r="J13" i="20"/>
  <c r="K13" i="20"/>
  <c r="L13" i="20"/>
  <c r="M13" i="20"/>
  <c r="N13" i="20"/>
  <c r="C13" i="20"/>
  <c r="N9" i="19" a="1"/>
  <c r="N9" i="19" s="1"/>
  <c r="M9" i="19" a="1"/>
  <c r="M9" i="19" s="1"/>
  <c r="L9" i="19" a="1"/>
  <c r="L9" i="19" s="1"/>
  <c r="K9" i="19" a="1"/>
  <c r="K9" i="19" s="1"/>
  <c r="J9" i="19" a="1"/>
  <c r="J9" i="19" s="1"/>
  <c r="I9" i="19" a="1"/>
  <c r="I9" i="19" s="1"/>
  <c r="E9" i="19" a="1"/>
  <c r="E9" i="19" s="1"/>
  <c r="F9" i="19" a="1"/>
  <c r="F9" i="19" s="1"/>
  <c r="G9" i="19" a="1"/>
  <c r="G9" i="19" s="1"/>
  <c r="H9" i="19" a="1"/>
  <c r="H9" i="19" s="1"/>
  <c r="C9" i="19" a="1"/>
  <c r="C9" i="19" s="1"/>
  <c r="D9" i="19" a="1"/>
  <c r="D9" i="19" s="1"/>
  <c r="F2" i="19" a="1"/>
  <c r="F2" i="19" s="1"/>
  <c r="H2" i="19" a="1"/>
  <c r="H2" i="19" s="1"/>
  <c r="C2" i="19" a="1"/>
  <c r="C2" i="19" s="1"/>
  <c r="D2" i="19" a="1"/>
  <c r="D2" i="19" s="1"/>
  <c r="N2" i="19" a="1"/>
  <c r="N2" i="19" s="1"/>
  <c r="M2" i="19" a="1"/>
  <c r="M2" i="19" s="1"/>
  <c r="L2" i="19" a="1"/>
  <c r="L2" i="19" s="1"/>
  <c r="K2" i="19" a="1"/>
  <c r="K2" i="19" s="1"/>
  <c r="J2" i="19" a="1"/>
  <c r="J2" i="19" s="1"/>
  <c r="I2" i="19" a="1"/>
  <c r="I2" i="19" s="1"/>
  <c r="E2" i="19" a="1"/>
  <c r="E2" i="19" s="1"/>
  <c r="G2" i="19" a="1"/>
  <c r="G2" i="19" s="1"/>
  <c r="N13" i="19" a="1"/>
  <c r="N13" i="19" s="1"/>
  <c r="M13" i="19" a="1"/>
  <c r="M13" i="19" s="1"/>
  <c r="L13" i="19" a="1"/>
  <c r="L13" i="19" s="1"/>
  <c r="K13" i="19" a="1"/>
  <c r="K13" i="19" s="1"/>
  <c r="J13" i="19" a="1"/>
  <c r="J13" i="19" s="1"/>
  <c r="I13" i="19" a="1"/>
  <c r="I13" i="19" s="1"/>
  <c r="E13" i="19" a="1"/>
  <c r="E13" i="19" s="1"/>
  <c r="F13" i="19" a="1"/>
  <c r="F13" i="19" s="1"/>
  <c r="G13" i="19" a="1"/>
  <c r="G13" i="19" s="1"/>
  <c r="H13" i="19" a="1"/>
  <c r="H13" i="19" s="1"/>
  <c r="C13" i="19" a="1"/>
  <c r="C13" i="19" s="1"/>
  <c r="D13" i="19" a="1"/>
  <c r="D13" i="19" s="1"/>
  <c r="H3" i="11"/>
  <c r="D6" i="19" a="1"/>
  <c r="D6" i="19" s="1"/>
  <c r="N6" i="19" a="1"/>
  <c r="N6" i="19" s="1"/>
  <c r="M6" i="19" a="1"/>
  <c r="M6" i="19" s="1"/>
  <c r="L6" i="19" a="1"/>
  <c r="L6" i="19" s="1"/>
  <c r="K6" i="19" a="1"/>
  <c r="K6" i="19" s="1"/>
  <c r="J6" i="19" a="1"/>
  <c r="J6" i="19" s="1"/>
  <c r="I6" i="19" a="1"/>
  <c r="I6" i="19" s="1"/>
  <c r="E6" i="19" a="1"/>
  <c r="E6" i="19" s="1"/>
  <c r="F6" i="19" a="1"/>
  <c r="F6" i="19" s="1"/>
  <c r="G6" i="19" a="1"/>
  <c r="G6" i="19" s="1"/>
  <c r="H6" i="19" a="1"/>
  <c r="H6" i="19" s="1"/>
  <c r="C6" i="19" a="1"/>
  <c r="C6" i="19" s="1"/>
  <c r="K5" i="13"/>
  <c r="N8" i="19" a="1"/>
  <c r="N8" i="19" s="1"/>
  <c r="M8" i="19" a="1"/>
  <c r="M8" i="19" s="1"/>
  <c r="L8" i="19" a="1"/>
  <c r="L8" i="19" s="1"/>
  <c r="K8" i="19" a="1"/>
  <c r="K8" i="19" s="1"/>
  <c r="J8" i="19" a="1"/>
  <c r="J8" i="19" s="1"/>
  <c r="I8" i="19" a="1"/>
  <c r="I8" i="19" s="1"/>
  <c r="E8" i="19" a="1"/>
  <c r="E8" i="19" s="1"/>
  <c r="F8" i="19" a="1"/>
  <c r="F8" i="19" s="1"/>
  <c r="G8" i="19" a="1"/>
  <c r="G8" i="19" s="1"/>
  <c r="H8" i="19" a="1"/>
  <c r="H8" i="19" s="1"/>
  <c r="C8" i="19" a="1"/>
  <c r="C8" i="19" s="1"/>
  <c r="D8" i="19" a="1"/>
  <c r="D8" i="19" s="1"/>
  <c r="N16" i="19" a="1"/>
  <c r="N16" i="19" s="1"/>
  <c r="M16" i="19" a="1"/>
  <c r="M16" i="19" s="1"/>
  <c r="L16" i="19" a="1"/>
  <c r="L16" i="19" s="1"/>
  <c r="K16" i="19" a="1"/>
  <c r="K16" i="19" s="1"/>
  <c r="J16" i="19" a="1"/>
  <c r="J16" i="19" s="1"/>
  <c r="I16" i="19" a="1"/>
  <c r="I16" i="19" s="1"/>
  <c r="E16" i="19" a="1"/>
  <c r="E16" i="19" s="1"/>
  <c r="F16" i="19" a="1"/>
  <c r="F16" i="19" s="1"/>
  <c r="G16" i="19" a="1"/>
  <c r="G16" i="19" s="1"/>
  <c r="H16" i="19" a="1"/>
  <c r="H16" i="19" s="1"/>
  <c r="C16" i="19" a="1"/>
  <c r="C16" i="19" s="1"/>
  <c r="D16" i="19" a="1"/>
  <c r="D16" i="19" s="1"/>
  <c r="C4" i="19" a="1"/>
  <c r="C4" i="19" s="1"/>
  <c r="N4" i="19" a="1"/>
  <c r="N4" i="19" s="1"/>
  <c r="M4" i="19" a="1"/>
  <c r="M4" i="19" s="1"/>
  <c r="L4" i="19" a="1"/>
  <c r="L4" i="19" s="1"/>
  <c r="K4" i="19" a="1"/>
  <c r="K4" i="19" s="1"/>
  <c r="J4" i="19" a="1"/>
  <c r="J4" i="19" s="1"/>
  <c r="I4" i="19" a="1"/>
  <c r="I4" i="19" s="1"/>
  <c r="E4" i="19" a="1"/>
  <c r="E4" i="19" s="1"/>
  <c r="F4" i="19" a="1"/>
  <c r="F4" i="19" s="1"/>
  <c r="G4" i="19" a="1"/>
  <c r="G4" i="19" s="1"/>
  <c r="H4" i="19" a="1"/>
  <c r="H4" i="19" s="1"/>
  <c r="D4" i="19" a="1"/>
  <c r="D4" i="19" s="1"/>
  <c r="N17" i="19" a="1"/>
  <c r="N17" i="19" s="1"/>
  <c r="M17" i="19" a="1"/>
  <c r="M17" i="19" s="1"/>
  <c r="L17" i="19" a="1"/>
  <c r="L17" i="19" s="1"/>
  <c r="K17" i="19" a="1"/>
  <c r="K17" i="19" s="1"/>
  <c r="J17" i="19" a="1"/>
  <c r="J17" i="19" s="1"/>
  <c r="I17" i="19" a="1"/>
  <c r="I17" i="19" s="1"/>
  <c r="E17" i="19" a="1"/>
  <c r="E17" i="19" s="1"/>
  <c r="F17" i="19" a="1"/>
  <c r="F17" i="19" s="1"/>
  <c r="G17" i="19" a="1"/>
  <c r="G17" i="19" s="1"/>
  <c r="H17" i="19" a="1"/>
  <c r="H17" i="19" s="1"/>
  <c r="C17" i="19" a="1"/>
  <c r="C17" i="19" s="1"/>
  <c r="D17" i="19" a="1"/>
  <c r="D17" i="19" s="1"/>
  <c r="D5" i="19" a="1"/>
  <c r="D5" i="19" s="1"/>
  <c r="N5" i="19" a="1"/>
  <c r="N5" i="19" s="1"/>
  <c r="M5" i="19" a="1"/>
  <c r="M5" i="19" s="1"/>
  <c r="L5" i="19" a="1"/>
  <c r="L5" i="19" s="1"/>
  <c r="K5" i="19" a="1"/>
  <c r="K5" i="19" s="1"/>
  <c r="J5" i="19" a="1"/>
  <c r="J5" i="19" s="1"/>
  <c r="I5" i="19" a="1"/>
  <c r="I5" i="19" s="1"/>
  <c r="E5" i="19" a="1"/>
  <c r="E5" i="19" s="1"/>
  <c r="F5" i="19" a="1"/>
  <c r="F5" i="19" s="1"/>
  <c r="G5" i="19" a="1"/>
  <c r="G5" i="19" s="1"/>
  <c r="H5" i="19" a="1"/>
  <c r="H5" i="19" s="1"/>
  <c r="C5" i="19" a="1"/>
  <c r="C5" i="19" s="1"/>
  <c r="D6" i="17"/>
  <c r="H7" i="19" a="1"/>
  <c r="H7" i="19" s="1"/>
  <c r="D7" i="19" a="1"/>
  <c r="D7" i="19" s="1"/>
  <c r="G7" i="19" a="1"/>
  <c r="G7" i="19" s="1"/>
  <c r="C7" i="19" a="1"/>
  <c r="C7" i="19" s="1"/>
  <c r="N7" i="19" a="1"/>
  <c r="N7" i="19" s="1"/>
  <c r="M7" i="19" a="1"/>
  <c r="M7" i="19" s="1"/>
  <c r="L7" i="19" a="1"/>
  <c r="L7" i="19" s="1"/>
  <c r="K7" i="19" a="1"/>
  <c r="K7" i="19" s="1"/>
  <c r="J7" i="19" a="1"/>
  <c r="J7" i="19" s="1"/>
  <c r="I7" i="19" a="1"/>
  <c r="I7" i="19" s="1"/>
  <c r="E7" i="19" a="1"/>
  <c r="E7" i="19" s="1"/>
  <c r="F7" i="19" a="1"/>
  <c r="F7" i="19" s="1"/>
  <c r="G3" i="19" a="1"/>
  <c r="G3" i="19" s="1"/>
  <c r="C3" i="19" a="1"/>
  <c r="C3" i="19" s="1"/>
  <c r="D3" i="19" a="1"/>
  <c r="D3" i="19" s="1"/>
  <c r="N3" i="19" a="1"/>
  <c r="N3" i="19" s="1"/>
  <c r="M3" i="19" a="1"/>
  <c r="M3" i="19" s="1"/>
  <c r="L3" i="19" a="1"/>
  <c r="L3" i="19" s="1"/>
  <c r="K3" i="19" a="1"/>
  <c r="K3" i="19" s="1"/>
  <c r="J3" i="19" a="1"/>
  <c r="J3" i="19" s="1"/>
  <c r="I3" i="19" a="1"/>
  <c r="I3" i="19" s="1"/>
  <c r="E3" i="19" a="1"/>
  <c r="E3" i="19" s="1"/>
  <c r="F3" i="19" a="1"/>
  <c r="F3" i="19" s="1"/>
  <c r="H3" i="19" a="1"/>
  <c r="H3" i="19" s="1"/>
  <c r="C11" i="19" a="1"/>
  <c r="C11" i="19" s="1"/>
  <c r="D11" i="19" a="1"/>
  <c r="D11" i="19" s="1"/>
  <c r="H11" i="19" a="1"/>
  <c r="H11" i="19" s="1"/>
  <c r="N11" i="19" a="1"/>
  <c r="N11" i="19" s="1"/>
  <c r="M11" i="19" a="1"/>
  <c r="M11" i="19" s="1"/>
  <c r="L11" i="19" a="1"/>
  <c r="L11" i="19" s="1"/>
  <c r="K11" i="19" a="1"/>
  <c r="K11" i="19" s="1"/>
  <c r="J11" i="19" a="1"/>
  <c r="J11" i="19" s="1"/>
  <c r="I11" i="19" a="1"/>
  <c r="I11" i="19" s="1"/>
  <c r="E11" i="19" a="1"/>
  <c r="E11" i="19" s="1"/>
  <c r="F11" i="19" a="1"/>
  <c r="F11" i="19" s="1"/>
  <c r="G11" i="19" a="1"/>
  <c r="G11" i="19" s="1"/>
  <c r="D12" i="19" a="1"/>
  <c r="D12" i="19" s="1"/>
  <c r="N12" i="19" a="1"/>
  <c r="N12" i="19" s="1"/>
  <c r="M12" i="19" a="1"/>
  <c r="M12" i="19" s="1"/>
  <c r="L12" i="19" a="1"/>
  <c r="L12" i="19" s="1"/>
  <c r="K12" i="19" a="1"/>
  <c r="K12" i="19" s="1"/>
  <c r="J12" i="19" a="1"/>
  <c r="J12" i="19" s="1"/>
  <c r="I12" i="19" a="1"/>
  <c r="I12" i="19" s="1"/>
  <c r="E12" i="19" a="1"/>
  <c r="E12" i="19" s="1"/>
  <c r="F12" i="19" a="1"/>
  <c r="F12" i="19" s="1"/>
  <c r="G12" i="19" a="1"/>
  <c r="G12" i="19" s="1"/>
  <c r="H12" i="19" a="1"/>
  <c r="H12" i="19" s="1"/>
  <c r="C12" i="19" a="1"/>
  <c r="C12" i="19" s="1"/>
  <c r="N15" i="19" a="1"/>
  <c r="N15" i="19" s="1"/>
  <c r="M15" i="19" a="1"/>
  <c r="M15" i="19" s="1"/>
  <c r="L15" i="19" a="1"/>
  <c r="L15" i="19" s="1"/>
  <c r="K15" i="19" a="1"/>
  <c r="K15" i="19" s="1"/>
  <c r="J15" i="19" a="1"/>
  <c r="J15" i="19" s="1"/>
  <c r="I15" i="19" a="1"/>
  <c r="I15" i="19" s="1"/>
  <c r="E15" i="19" a="1"/>
  <c r="E15" i="19" s="1"/>
  <c r="F15" i="19" a="1"/>
  <c r="F15" i="19" s="1"/>
  <c r="G15" i="19" a="1"/>
  <c r="G15" i="19" s="1"/>
  <c r="H15" i="19" a="1"/>
  <c r="H15" i="19" s="1"/>
  <c r="C15" i="19" a="1"/>
  <c r="C15" i="19" s="1"/>
  <c r="D15" i="19" a="1"/>
  <c r="D15" i="19" s="1"/>
  <c r="C14" i="19" a="1"/>
  <c r="C14" i="19" s="1"/>
  <c r="L14" i="19" a="1"/>
  <c r="L14" i="19" s="1"/>
  <c r="E14" i="19" a="1"/>
  <c r="E14" i="19" s="1"/>
  <c r="I14" i="19" a="1"/>
  <c r="I14" i="19" s="1"/>
  <c r="H14" i="19" a="1"/>
  <c r="H14" i="19" s="1"/>
  <c r="J14" i="19" a="1"/>
  <c r="J14" i="19" s="1"/>
  <c r="F14" i="19" a="1"/>
  <c r="F14" i="19" s="1"/>
  <c r="K14" i="19" a="1"/>
  <c r="K14" i="19" s="1"/>
  <c r="M14" i="19" a="1"/>
  <c r="M14" i="19" s="1"/>
  <c r="N14" i="19" a="1"/>
  <c r="N14" i="19" s="1"/>
  <c r="D14" i="19" a="1"/>
  <c r="D14" i="19" s="1"/>
  <c r="G14" i="19" a="1"/>
  <c r="G14" i="19" s="1"/>
  <c r="N10" i="19" a="1"/>
  <c r="N10" i="19" s="1"/>
  <c r="M10" i="19" a="1"/>
  <c r="M10" i="19" s="1"/>
  <c r="L10" i="19" a="1"/>
  <c r="L10" i="19" s="1"/>
  <c r="K10" i="19" a="1"/>
  <c r="K10" i="19" s="1"/>
  <c r="J10" i="19" a="1"/>
  <c r="J10" i="19" s="1"/>
  <c r="I10" i="19" a="1"/>
  <c r="I10" i="19" s="1"/>
  <c r="E10" i="19" a="1"/>
  <c r="E10" i="19" s="1"/>
  <c r="F10" i="19" a="1"/>
  <c r="F10" i="19" s="1"/>
  <c r="G10" i="19" a="1"/>
  <c r="G10" i="19" s="1"/>
  <c r="H10" i="19" a="1"/>
  <c r="H10" i="19" s="1"/>
  <c r="C10" i="19" a="1"/>
  <c r="C10" i="19" s="1"/>
  <c r="D10" i="19" a="1"/>
  <c r="D10" i="19" s="1"/>
  <c r="K10" i="18"/>
  <c r="B16" i="18"/>
  <c r="K3" i="18"/>
  <c r="B16" i="8"/>
  <c r="K4" i="14"/>
  <c r="K4" i="11"/>
  <c r="D3" i="15"/>
  <c r="D6" i="14"/>
  <c r="H7" i="15"/>
  <c r="D5" i="12"/>
  <c r="D2" i="13"/>
  <c r="K2" i="11"/>
  <c r="H6" i="12"/>
  <c r="K9" i="11"/>
  <c r="K10" i="15"/>
  <c r="D8" i="11"/>
  <c r="H4" i="8"/>
  <c r="H4" i="13"/>
  <c r="H4" i="12"/>
  <c r="H4" i="14"/>
  <c r="H4" i="15"/>
  <c r="K6" i="8"/>
  <c r="K6" i="18"/>
  <c r="K6" i="9"/>
  <c r="H4" i="10"/>
  <c r="D2" i="12"/>
  <c r="H3" i="13"/>
  <c r="D5" i="13"/>
  <c r="K3" i="14"/>
  <c r="H2" i="14"/>
  <c r="D2" i="15"/>
  <c r="K2" i="15"/>
  <c r="D6" i="13"/>
  <c r="B14" i="13"/>
  <c r="D3" i="14"/>
  <c r="H3" i="15"/>
  <c r="K7" i="15"/>
  <c r="H4" i="16"/>
  <c r="B15" i="17"/>
  <c r="K6" i="17"/>
  <c r="H4" i="18"/>
  <c r="K6" i="16"/>
  <c r="D7" i="18"/>
  <c r="K10" i="14"/>
  <c r="H5" i="18"/>
  <c r="K2" i="18"/>
  <c r="B15" i="9"/>
  <c r="K3" i="9"/>
  <c r="B16" i="9"/>
  <c r="D4" i="10"/>
  <c r="K5" i="10"/>
  <c r="B16" i="10"/>
  <c r="B16" i="11"/>
  <c r="D6" i="12"/>
  <c r="K8" i="12"/>
  <c r="K6" i="13"/>
  <c r="H6" i="14"/>
  <c r="K10" i="16"/>
  <c r="B16" i="16"/>
  <c r="H4" i="17"/>
  <c r="K5" i="8"/>
  <c r="D4" i="17"/>
  <c r="K5" i="16"/>
  <c r="D4" i="14"/>
  <c r="B14" i="11"/>
  <c r="B14" i="9"/>
  <c r="K5" i="17"/>
  <c r="D4" i="16"/>
  <c r="B14" i="15"/>
  <c r="D4" i="15"/>
  <c r="B14" i="14"/>
  <c r="D4" i="12"/>
  <c r="D4" i="11"/>
  <c r="K5" i="11"/>
  <c r="B14" i="10"/>
  <c r="D4" i="9"/>
  <c r="D4" i="18"/>
  <c r="B14" i="18"/>
  <c r="K5" i="18"/>
  <c r="B14" i="17"/>
  <c r="B14" i="16"/>
  <c r="D8" i="8"/>
  <c r="B16" i="13"/>
  <c r="B16" i="12"/>
  <c r="B16" i="14"/>
  <c r="B16" i="15"/>
  <c r="H3" i="8"/>
  <c r="H3" i="10"/>
  <c r="H3" i="16"/>
  <c r="H3" i="9"/>
  <c r="H3" i="18"/>
  <c r="H3" i="17"/>
  <c r="K3" i="15"/>
  <c r="K3" i="13"/>
  <c r="K3" i="10"/>
  <c r="K3" i="16"/>
  <c r="K3" i="17"/>
  <c r="D3" i="8"/>
  <c r="D3" i="18"/>
  <c r="D3" i="17"/>
  <c r="D3" i="16"/>
  <c r="H2" i="15"/>
  <c r="D3" i="11"/>
  <c r="D3" i="10"/>
  <c r="D3" i="9"/>
  <c r="H2" i="18"/>
  <c r="H2" i="17"/>
  <c r="H2" i="16"/>
  <c r="D3" i="13"/>
  <c r="D3" i="12"/>
  <c r="H2" i="11"/>
  <c r="H2" i="10"/>
  <c r="H2" i="9"/>
  <c r="K7" i="17"/>
  <c r="D5" i="14"/>
  <c r="K7" i="11"/>
  <c r="K7" i="18"/>
  <c r="D5" i="15"/>
  <c r="K7" i="14"/>
  <c r="K7" i="13"/>
  <c r="K7" i="12"/>
  <c r="K7" i="10"/>
  <c r="D5" i="18"/>
  <c r="D5" i="17"/>
  <c r="D5" i="16"/>
  <c r="K9" i="8"/>
  <c r="K9" i="18"/>
  <c r="K9" i="14"/>
  <c r="K9" i="10"/>
  <c r="K9" i="17"/>
  <c r="K9" i="13"/>
  <c r="K9" i="9"/>
  <c r="K9" i="16"/>
  <c r="H4" i="9"/>
  <c r="D8" i="10"/>
  <c r="K4" i="10"/>
  <c r="B15" i="11"/>
  <c r="H4" i="11"/>
  <c r="K3" i="12"/>
  <c r="B14" i="12"/>
  <c r="K10" i="13"/>
  <c r="H3" i="14"/>
  <c r="K5" i="15"/>
  <c r="D6" i="16"/>
  <c r="K10" i="17"/>
  <c r="K2" i="10"/>
  <c r="K2" i="16"/>
  <c r="D8" i="17"/>
  <c r="D8" i="15"/>
  <c r="D8" i="13"/>
  <c r="D8" i="18"/>
  <c r="D8" i="14"/>
  <c r="D8" i="12"/>
  <c r="D8" i="16"/>
  <c r="H5" i="9"/>
  <c r="H5" i="17"/>
  <c r="D6" i="8"/>
  <c r="K8" i="15"/>
  <c r="K8" i="11"/>
  <c r="D6" i="9"/>
  <c r="K8" i="18"/>
  <c r="D6" i="18"/>
  <c r="D6" i="15"/>
  <c r="K8" i="14"/>
  <c r="D6" i="11"/>
  <c r="K8" i="10"/>
  <c r="D6" i="10"/>
  <c r="K8" i="17"/>
  <c r="D2" i="8"/>
  <c r="D2" i="14"/>
  <c r="D2" i="17"/>
  <c r="D2" i="16"/>
  <c r="D8" i="9"/>
  <c r="D5" i="9"/>
  <c r="K8" i="9"/>
  <c r="K10" i="10"/>
  <c r="D5" i="10"/>
  <c r="K6" i="10"/>
  <c r="H5" i="11"/>
  <c r="D5" i="11"/>
  <c r="H2" i="12"/>
  <c r="H3" i="12"/>
  <c r="K2" i="12"/>
  <c r="H6" i="13"/>
  <c r="K5" i="14"/>
  <c r="H5" i="14"/>
  <c r="K9" i="15"/>
  <c r="H2" i="4"/>
  <c r="K10" i="8"/>
  <c r="H7" i="8"/>
  <c r="H7" i="18"/>
  <c r="H7" i="16"/>
  <c r="H7" i="11"/>
  <c r="H7" i="10"/>
  <c r="H7" i="17"/>
  <c r="H7" i="13"/>
  <c r="H2" i="8"/>
  <c r="K3" i="8"/>
  <c r="K7" i="8"/>
  <c r="K2" i="8"/>
  <c r="D7" i="8"/>
  <c r="D7" i="11"/>
  <c r="D7" i="10"/>
  <c r="D7" i="9"/>
  <c r="H5" i="8"/>
  <c r="K4" i="8"/>
  <c r="K4" i="17"/>
  <c r="K4" i="13"/>
  <c r="K4" i="9"/>
  <c r="K4" i="16"/>
  <c r="K4" i="12"/>
  <c r="K4" i="15"/>
  <c r="H6" i="8"/>
  <c r="D2" i="9"/>
  <c r="K5" i="9"/>
  <c r="K7" i="9"/>
  <c r="H5" i="10"/>
  <c r="B15" i="10"/>
  <c r="D2" i="10"/>
  <c r="K3" i="11"/>
  <c r="K10" i="11"/>
  <c r="D2" i="11"/>
  <c r="K5" i="12"/>
  <c r="H7" i="12"/>
  <c r="K9" i="12"/>
  <c r="H2" i="13"/>
  <c r="D4" i="13"/>
  <c r="K8" i="13"/>
  <c r="H7" i="14"/>
  <c r="D7" i="14"/>
  <c r="K6" i="14"/>
  <c r="D7" i="15"/>
  <c r="K7" i="16"/>
  <c r="K8" i="16"/>
  <c r="B16" i="17"/>
  <c r="D2" i="18"/>
  <c r="K4" i="18"/>
  <c r="B15" i="16"/>
  <c r="K10" i="9"/>
  <c r="H6" i="9"/>
  <c r="K2" i="9"/>
  <c r="H6" i="10"/>
  <c r="H6" i="11"/>
  <c r="K6" i="11"/>
  <c r="D7" i="12"/>
  <c r="D7" i="13"/>
  <c r="H5" i="13"/>
  <c r="K2" i="13"/>
  <c r="B15" i="15"/>
  <c r="K6" i="15"/>
  <c r="H6" i="16"/>
  <c r="H6" i="17"/>
  <c r="K2" i="17"/>
  <c r="H6" i="18"/>
  <c r="B15" i="12"/>
  <c r="H5" i="12"/>
  <c r="K10" i="12"/>
  <c r="K6" i="12"/>
  <c r="B15" i="13"/>
  <c r="B15" i="14"/>
  <c r="K2" i="14"/>
  <c r="H5" i="15"/>
  <c r="H6" i="15"/>
  <c r="H5" i="16"/>
  <c r="D7" i="16"/>
  <c r="D7" i="17"/>
  <c r="B15" i="18"/>
  <c r="D5" i="8"/>
  <c r="D4" i="8"/>
  <c r="B14" i="8"/>
  <c r="K8" i="8"/>
  <c r="B15" i="8"/>
  <c r="B15" i="4"/>
  <c r="B16" i="4"/>
  <c r="B14" i="4"/>
  <c r="K5" i="4"/>
  <c r="K8" i="4"/>
  <c r="K4" i="4"/>
  <c r="K10" i="4"/>
  <c r="K6" i="4"/>
  <c r="K9" i="4"/>
  <c r="K7" i="4"/>
  <c r="K3" i="4"/>
  <c r="K2" i="4"/>
  <c r="H7" i="4"/>
  <c r="H5" i="4"/>
  <c r="H4" i="4"/>
  <c r="H3" i="4"/>
  <c r="H6" i="4"/>
  <c r="D2" i="4"/>
  <c r="E2" i="4" s="1"/>
  <c r="D6" i="4"/>
  <c r="E6" i="4" s="1"/>
  <c r="D8" i="4"/>
  <c r="E8" i="4" s="1"/>
  <c r="D7" i="4"/>
  <c r="E7" i="4" s="1"/>
  <c r="D5" i="4"/>
  <c r="E5" i="4" s="1"/>
  <c r="D4" i="4"/>
  <c r="E4" i="4" s="1"/>
  <c r="D3" i="4"/>
  <c r="E3" i="4" s="1"/>
  <c r="C6" i="8" a="1"/>
  <c r="C2" i="8" a="1"/>
  <c r="C5" i="8" a="1"/>
  <c r="C3" i="8" a="1"/>
  <c r="C7" i="8" a="1"/>
  <c r="C8" i="8" a="1"/>
  <c r="C4" i="8" a="1"/>
  <c r="B17" i="13" l="1"/>
  <c r="F18" i="20"/>
  <c r="F11" i="20"/>
  <c r="K18" i="20"/>
  <c r="E18" i="20"/>
  <c r="D18" i="20"/>
  <c r="O15" i="20"/>
  <c r="O4" i="20"/>
  <c r="E11" i="20"/>
  <c r="C18" i="20"/>
  <c r="O12" i="20"/>
  <c r="N11" i="20"/>
  <c r="D11" i="20"/>
  <c r="O19" i="20"/>
  <c r="O20" i="20" s="1"/>
  <c r="C20" i="20"/>
  <c r="M11" i="20"/>
  <c r="L11" i="20"/>
  <c r="K11" i="20"/>
  <c r="N18" i="20"/>
  <c r="J11" i="20"/>
  <c r="C11" i="20"/>
  <c r="O2" i="20"/>
  <c r="M18" i="20"/>
  <c r="O8" i="20"/>
  <c r="O14" i="20"/>
  <c r="I11" i="20"/>
  <c r="L18" i="20"/>
  <c r="O16" i="20"/>
  <c r="O5" i="20"/>
  <c r="H11" i="20"/>
  <c r="G11" i="20"/>
  <c r="J18" i="20"/>
  <c r="O3" i="20"/>
  <c r="O6" i="20"/>
  <c r="I18" i="20"/>
  <c r="O7" i="20"/>
  <c r="H18" i="20"/>
  <c r="O17" i="20"/>
  <c r="O14" i="19"/>
  <c r="O13" i="20"/>
  <c r="O10" i="20"/>
  <c r="G18" i="20"/>
  <c r="O9" i="20"/>
  <c r="D18" i="19"/>
  <c r="O12" i="19"/>
  <c r="O2" i="19"/>
  <c r="C18" i="19"/>
  <c r="O5" i="19"/>
  <c r="H18" i="19"/>
  <c r="O3" i="19"/>
  <c r="O8" i="19"/>
  <c r="F18" i="19"/>
  <c r="O4" i="19"/>
  <c r="O9" i="19"/>
  <c r="O15" i="19"/>
  <c r="O16" i="19"/>
  <c r="O11" i="19"/>
  <c r="G18" i="19"/>
  <c r="E18" i="19"/>
  <c r="I18" i="19"/>
  <c r="J18" i="19"/>
  <c r="K18" i="19"/>
  <c r="O7" i="19"/>
  <c r="O13" i="19"/>
  <c r="L18" i="19"/>
  <c r="O10" i="19"/>
  <c r="M18" i="19"/>
  <c r="O17" i="19"/>
  <c r="O6" i="19"/>
  <c r="N18" i="19"/>
  <c r="B17" i="11"/>
  <c r="B17" i="15"/>
  <c r="B17" i="18"/>
  <c r="K11" i="13"/>
  <c r="B17" i="9"/>
  <c r="D9" i="18"/>
  <c r="K11" i="10"/>
  <c r="D9" i="16"/>
  <c r="K11" i="14"/>
  <c r="B17" i="12"/>
  <c r="H8" i="10"/>
  <c r="K11" i="16"/>
  <c r="B17" i="17"/>
  <c r="D9" i="12"/>
  <c r="K11" i="18"/>
  <c r="K11" i="12"/>
  <c r="K11" i="17"/>
  <c r="H8" i="15"/>
  <c r="H8" i="14"/>
  <c r="H8" i="11"/>
  <c r="D9" i="13"/>
  <c r="H8" i="8"/>
  <c r="B17" i="16"/>
  <c r="H8" i="17"/>
  <c r="H8" i="18"/>
  <c r="B17" i="10"/>
  <c r="D9" i="14"/>
  <c r="D9" i="15"/>
  <c r="H8" i="13"/>
  <c r="H8" i="12"/>
  <c r="H8" i="16"/>
  <c r="D9" i="9"/>
  <c r="D9" i="10"/>
  <c r="D9" i="17"/>
  <c r="H8" i="9"/>
  <c r="D9" i="11"/>
  <c r="B17" i="14"/>
  <c r="K11" i="11"/>
  <c r="K11" i="9"/>
  <c r="K11" i="15"/>
  <c r="K11" i="8"/>
  <c r="D9" i="8"/>
  <c r="B17" i="8"/>
  <c r="C3" i="8"/>
  <c r="E3" i="8" s="1"/>
  <c r="C8" i="8"/>
  <c r="E8" i="8" s="1"/>
  <c r="C4" i="8"/>
  <c r="E4" i="8" s="1"/>
  <c r="C6" i="8"/>
  <c r="E6" i="8" s="1"/>
  <c r="C5" i="8"/>
  <c r="E5" i="8" s="1"/>
  <c r="C2" i="8"/>
  <c r="E2" i="8" s="1"/>
  <c r="C7" i="8"/>
  <c r="E7" i="8" s="1"/>
  <c r="B17" i="4"/>
  <c r="K11" i="4"/>
  <c r="H8" i="4"/>
  <c r="E9" i="4"/>
  <c r="D9" i="4"/>
  <c r="C5" i="9" a="1"/>
  <c r="C7" i="9" a="1"/>
  <c r="C4" i="9" a="1"/>
  <c r="C6" i="9" a="1"/>
  <c r="C8" i="9" a="1"/>
  <c r="C2" i="9" a="1"/>
  <c r="C3" i="9" a="1"/>
  <c r="D21" i="20" l="1"/>
  <c r="G21" i="20"/>
  <c r="J21" i="20"/>
  <c r="H21" i="20"/>
  <c r="E21" i="20"/>
  <c r="F21" i="20"/>
  <c r="C21" i="20"/>
  <c r="K21" i="20"/>
  <c r="M21" i="20"/>
  <c r="N21" i="20"/>
  <c r="I21" i="20"/>
  <c r="O18" i="20"/>
  <c r="O11" i="20"/>
  <c r="L21" i="20"/>
  <c r="O18" i="19"/>
  <c r="C2" i="9"/>
  <c r="C6" i="9"/>
  <c r="E6" i="9" s="1"/>
  <c r="C7" i="9"/>
  <c r="E7" i="9" s="1"/>
  <c r="C4" i="9"/>
  <c r="E4" i="9" s="1"/>
  <c r="C8" i="9"/>
  <c r="E8" i="9" s="1"/>
  <c r="C5" i="9"/>
  <c r="E5" i="9" s="1"/>
  <c r="C3" i="9"/>
  <c r="E3" i="9" s="1"/>
  <c r="C9" i="8"/>
  <c r="E9" i="8"/>
  <c r="C3" i="10" a="1"/>
  <c r="C7" i="10" a="1"/>
  <c r="C5" i="10" a="1"/>
  <c r="C6" i="10" a="1"/>
  <c r="C4" i="10" a="1"/>
  <c r="C8" i="10" a="1"/>
  <c r="O21" i="20" l="1"/>
  <c r="C3" i="10"/>
  <c r="E3" i="10" s="1"/>
  <c r="C7" i="10"/>
  <c r="E7" i="10" s="1"/>
  <c r="C4" i="10"/>
  <c r="E4" i="10" s="1"/>
  <c r="C6" i="10"/>
  <c r="E6" i="10" s="1"/>
  <c r="C5" i="10"/>
  <c r="E5" i="10" s="1"/>
  <c r="C8" i="10"/>
  <c r="E8" i="10" s="1"/>
  <c r="E2" i="9"/>
  <c r="C9" i="9"/>
  <c r="C6" i="11" a="1"/>
  <c r="C7" i="11" a="1"/>
  <c r="C8" i="11" a="1"/>
  <c r="C4" i="11" a="1"/>
  <c r="C5" i="11" a="1"/>
  <c r="C3" i="11" a="1"/>
  <c r="C2" i="10" a="1"/>
  <c r="C6" i="11" l="1"/>
  <c r="E6" i="11" s="1"/>
  <c r="C4" i="11"/>
  <c r="E4" i="11" s="1"/>
  <c r="C8" i="11"/>
  <c r="E8" i="11" s="1"/>
  <c r="C7" i="11"/>
  <c r="E7" i="11" s="1"/>
  <c r="C5" i="11"/>
  <c r="E5" i="11" s="1"/>
  <c r="C3" i="11"/>
  <c r="E3" i="11" s="1"/>
  <c r="C2" i="10"/>
  <c r="E9" i="9"/>
  <c r="C8" i="12" a="1"/>
  <c r="C7" i="12" a="1"/>
  <c r="C3" i="12" a="1"/>
  <c r="C5" i="12" a="1"/>
  <c r="C4" i="12" a="1"/>
  <c r="C6" i="12" a="1"/>
  <c r="C8" i="12" l="1"/>
  <c r="E8" i="12" s="1"/>
  <c r="C5" i="12"/>
  <c r="E5" i="12" s="1"/>
  <c r="C7" i="12"/>
  <c r="E7" i="12" s="1"/>
  <c r="C3" i="12"/>
  <c r="E3" i="12" s="1"/>
  <c r="C4" i="12"/>
  <c r="E4" i="12" s="1"/>
  <c r="C6" i="12"/>
  <c r="E6" i="12" s="1"/>
  <c r="E2" i="10"/>
  <c r="C9" i="10"/>
  <c r="C6" i="13" a="1"/>
  <c r="C8" i="13" a="1"/>
  <c r="C2" i="11" a="1"/>
  <c r="C3" i="13" a="1"/>
  <c r="C7" i="13" a="1"/>
  <c r="C5" i="13" a="1"/>
  <c r="C4" i="13" a="1"/>
  <c r="C7" i="13" l="1"/>
  <c r="E7" i="13" s="1"/>
  <c r="C3" i="13"/>
  <c r="E3" i="13" s="1"/>
  <c r="C6" i="13"/>
  <c r="E6" i="13" s="1"/>
  <c r="C5" i="13"/>
  <c r="E5" i="13" s="1"/>
  <c r="C4" i="13"/>
  <c r="E4" i="13" s="1"/>
  <c r="C8" i="13"/>
  <c r="E8" i="13" s="1"/>
  <c r="C2" i="11"/>
  <c r="E9" i="10"/>
  <c r="C6" i="14" a="1"/>
  <c r="C5" i="14" a="1"/>
  <c r="C8" i="14" a="1"/>
  <c r="C4" i="14" a="1"/>
  <c r="C7" i="14" a="1"/>
  <c r="C3" i="14" a="1"/>
  <c r="C4" i="14" l="1"/>
  <c r="E4" i="14" s="1"/>
  <c r="C5" i="14"/>
  <c r="E5" i="14" s="1"/>
  <c r="C6" i="14"/>
  <c r="E6" i="14" s="1"/>
  <c r="C7" i="14"/>
  <c r="E7" i="14" s="1"/>
  <c r="C8" i="14"/>
  <c r="E8" i="14" s="1"/>
  <c r="C3" i="14"/>
  <c r="E3" i="14" s="1"/>
  <c r="C9" i="11"/>
  <c r="E2" i="11"/>
  <c r="C8" i="15" a="1"/>
  <c r="C2" i="12" a="1"/>
  <c r="C7" i="15" a="1"/>
  <c r="C4" i="15" a="1"/>
  <c r="C5" i="15" a="1"/>
  <c r="C6" i="15" a="1"/>
  <c r="C3" i="15" a="1"/>
  <c r="C6" i="15" l="1"/>
  <c r="E6" i="15" s="1"/>
  <c r="C7" i="15"/>
  <c r="E7" i="15" s="1"/>
  <c r="C3" i="15"/>
  <c r="E3" i="15" s="1"/>
  <c r="C5" i="15"/>
  <c r="E5" i="15" s="1"/>
  <c r="C8" i="15"/>
  <c r="E8" i="15" s="1"/>
  <c r="C4" i="15"/>
  <c r="E4" i="15" s="1"/>
  <c r="C2" i="12"/>
  <c r="E9" i="11"/>
  <c r="C7" i="16" a="1"/>
  <c r="C3" i="16" a="1"/>
  <c r="C6" i="16" a="1"/>
  <c r="C5" i="16" a="1"/>
  <c r="C8" i="16" a="1"/>
  <c r="C4" i="16" a="1"/>
  <c r="C3" i="16" l="1"/>
  <c r="E3" i="16" s="1"/>
  <c r="C7" i="16"/>
  <c r="E7" i="16" s="1"/>
  <c r="C5" i="16"/>
  <c r="E5" i="16" s="1"/>
  <c r="C4" i="16"/>
  <c r="E4" i="16" s="1"/>
  <c r="C8" i="16"/>
  <c r="E8" i="16" s="1"/>
  <c r="C6" i="16"/>
  <c r="E6" i="16" s="1"/>
  <c r="E2" i="12"/>
  <c r="C9" i="12"/>
  <c r="C4" i="17" a="1"/>
  <c r="C5" i="17" a="1"/>
  <c r="C3" i="17" a="1"/>
  <c r="C6" i="17" a="1"/>
  <c r="C8" i="17" a="1"/>
  <c r="C2" i="13" a="1"/>
  <c r="C7" i="17" a="1"/>
  <c r="C5" i="17" l="1"/>
  <c r="E5" i="17" s="1"/>
  <c r="C6" i="17"/>
  <c r="E6" i="17" s="1"/>
  <c r="C7" i="17"/>
  <c r="E7" i="17" s="1"/>
  <c r="C4" i="17"/>
  <c r="E4" i="17" s="1"/>
  <c r="C8" i="17"/>
  <c r="E8" i="17" s="1"/>
  <c r="C3" i="17"/>
  <c r="E3" i="17" s="1"/>
  <c r="C2" i="13"/>
  <c r="E9" i="12"/>
  <c r="C7" i="18" a="1"/>
  <c r="C6" i="18" a="1"/>
  <c r="C4" i="18" a="1"/>
  <c r="C5" i="18" a="1"/>
  <c r="C3" i="18" a="1"/>
  <c r="C8" i="18" a="1"/>
  <c r="C4" i="18" l="1"/>
  <c r="E4" i="18" s="1"/>
  <c r="C7" i="18"/>
  <c r="E7" i="18" s="1"/>
  <c r="C3" i="18"/>
  <c r="E3" i="18" s="1"/>
  <c r="C6" i="18"/>
  <c r="E6" i="18" s="1"/>
  <c r="C8" i="18"/>
  <c r="E8" i="18" s="1"/>
  <c r="C5" i="18"/>
  <c r="E5" i="18" s="1"/>
  <c r="C9" i="13"/>
  <c r="E2" i="13"/>
  <c r="C2" i="14" a="1"/>
  <c r="C2" i="14" l="1"/>
  <c r="E9" i="13"/>
  <c r="C9" i="14" l="1"/>
  <c r="E2" i="14"/>
  <c r="C2" i="15" a="1"/>
  <c r="C2" i="15" l="1"/>
  <c r="E9" i="14"/>
  <c r="E2" i="15" l="1"/>
  <c r="C9" i="15"/>
  <c r="C2" i="16" a="1"/>
  <c r="C2" i="16" l="1"/>
  <c r="E9" i="15"/>
  <c r="E2" i="16" l="1"/>
  <c r="C9" i="16"/>
  <c r="C2" i="17" a="1"/>
  <c r="C2" i="17" l="1"/>
  <c r="E9" i="16"/>
  <c r="C9" i="17" l="1"/>
  <c r="E2" i="17"/>
  <c r="C2" i="18" a="1"/>
  <c r="C2" i="18" l="1"/>
  <c r="E9" i="17"/>
  <c r="C9" i="18" l="1"/>
  <c r="E2" i="18"/>
  <c r="E9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<sst xmlns="http://schemas.openxmlformats.org/spreadsheetml/2006/main" count="1389" uniqueCount="57">
  <si>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</si>
  <si>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</si>
  <si>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</si>
  <si>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</si>
  <si>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</si>
  <si>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</si>
  <si>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</si>
  <si>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</si>
  <si>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</si>
  <si>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</si>
  <si>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</si>
  <si>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</si>
  <si>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</si>
  <si>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</si>
  <si>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</si>
  <si>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</si>
  <si>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</si>
  <si>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</si>
  <si>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</si>
  <si>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</si>
  <si>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</si>
  <si>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</si>
  <si>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</si>
  <si>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</si>
  <si>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</si>
  <si>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</si>
  <si>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</si>
  <si>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</si>
  <si>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</si>
  <si>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</si>
  <si>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</si>
  <si>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</si>
  <si>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</si>
  <si>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</si>
  <si>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Total</t>
  </si>
  <si>
    <t>Closing balance</t>
  </si>
  <si>
    <t>Operations</t>
  </si>
  <si>
    <t>Opening balance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</si>
  <si>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</si>
  <si>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</si>
  <si>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</si>
  <si>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</si>
  <si>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</si>
  <si>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</si>
  <si>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</si>
  <si>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</si>
  <si>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</si>
  <si>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</si>
  <si>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</si>
  <si>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</si>
  <si>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Expense Total</t>
  </si>
  <si>
    <t>Income Total</t>
  </si>
  <si>
    <t>Transfer Total</t>
  </si>
  <si>
    <t>Grand Total</t>
  </si>
  <si>
    <t>Column Labels</t>
  </si>
  <si>
    <t>Row Labels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</si>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</sst>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₴&quot;_-;\-* #,##0.00\ &quot;₴&quot;_-;_-* &quot;-&quot;??\ &quot;₴&quot;_-;_-@_-"/>
    <numFmt numFmtId="164" formatCode="#,##0.00\ &quot;zł&quot;;[Red]\-#,##0.00\ &quot;zł&quot;"/>
    <numFmt numFmtId="165" formatCode="_-* #,##0.00\ [$zł-415]_-;\-* #,##0.00\ [$zł-415]_-;_-* &quot;-&quot;??\ [$zł-415]_-;_-@_-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A7D0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</borders>
  <cellStyleXfs count="3">
    <xf numFmtId="0" fontId="0" fillId="0" borderId="0"/>
    <xf numFmtId="0" fontId="4" fillId="0" borderId="1" applyNumberFormat="0" applyFill="0" applyAlignment="0" applyProtection="0"/>
    <xf numFmtId="44" fontId="5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164" fontId="3" fillId="0" borderId="0" xfId="0" applyNumberFormat="1" applyFont="1"/>
    <xf numFmtId="14" fontId="3" fillId="0" borderId="0" xfId="0" applyNumberFormat="1" applyFont="1"/>
    <xf numFmtId="165" fontId="0" fillId="0" borderId="0" xfId="0" applyNumberFormat="1"/>
    <xf numFmtId="0" fontId="2" fillId="0" borderId="1" xfId="1" applyFont="1"/>
    <xf numFmtId="2" fontId="0" fillId="0" borderId="0" xfId="0" applyNumberFormat="1"/>
    <xf numFmtId="0" fontId="0" fillId="0" borderId="2" xfId="0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" xfId="1" applyNumberFormat="1" applyFont="1"/>
    <xf numFmtId="164" fontId="0" fillId="0" borderId="0" xfId="0" applyNumberFormat="1"/>
    <xf numFmtId="0" fontId="6" fillId="2" borderId="11" xfId="0" applyFont="1" applyFill="1" applyBorder="1"/>
    <xf numFmtId="0" fontId="0" fillId="0" borderId="11" xfId="0" applyBorder="1"/>
    <xf numFmtId="0" fontId="0" fillId="0" borderId="12" xfId="0" applyBorder="1"/>
    <xf numFmtId="0" fontId="6" fillId="2" borderId="13" xfId="0" applyFont="1" applyFill="1" applyBorder="1"/>
    <xf numFmtId="0" fontId="3" fillId="0" borderId="13" xfId="0" applyFont="1" applyBorder="1"/>
    <xf numFmtId="0" fontId="3" fillId="0" borderId="14" xfId="0" applyFont="1" applyBorder="1"/>
    <xf numFmtId="0" fontId="0" fillId="0" borderId="15" xfId="0" applyBorder="1"/>
    <xf numFmtId="0" fontId="1" fillId="0" borderId="0" xfId="0" applyFont="1"/>
    <xf numFmtId="165" fontId="7" fillId="0" borderId="0" xfId="0" applyNumberFormat="1" applyFont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2" applyNumberFormat="1" applyFont="1"/>
  </cellXfs>
  <cellStyles count="3">
    <cellStyle name="Currency" xfId="2" builtinId="4"/>
    <cellStyle name="Linked Cell" xfId="1" builtinId="24"/>
    <cellStyle name="Normal" xfId="0" builtinId="0"/>
  </cellStyles>
  <dxfs count="196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5.480569328705" createdVersion="8" refreshedVersion="8" minRefreshableVersion="3" recordCount="207" xr:uid="{0DBA98D3-95EB-4146-B2A7-92B92E69F7D9}">
  <cacheSource type="worksheet">
    <worksheetSource name="operations"/>
  </cacheSource>
  <cacheFields count="7">
    <cacheField name="Amount" numFmtId="0">
      <sharedItems containsSemiMixedTypes="0" containsString="0" containsNumber="1" minValue="-2000" maxValue="4500"/>
    </cacheField>
    <cacheField name="Bank" numFmtId="0">
      <sharedItems/>
    </cacheField>
    <cacheField name="Product" numFmtId="0">
      <sharedItems/>
    </cacheField>
    <cacheField name="Category" numFmtId="0">
      <sharedItems count="16">
        <s v="Groceries"/>
        <s v="Salary"/>
        <s v="Accomodation"/>
        <s v="Multimedia"/>
        <s v="Other incoms"/>
        <s v="Other expences"/>
        <s v="Allowance"/>
        <s v="Entertainment"/>
        <s v="Transportation"/>
        <s v="Clothing"/>
        <s v="Studies"/>
        <s v="Financial"/>
        <s v="Health&amp;Beauty"/>
        <s v="Transfer"/>
        <s v="Gift"/>
        <s v="Scholarship"/>
      </sharedItems>
    </cacheField>
    <cacheField name="Type" numFmtId="0">
      <sharedItems count="3">
        <s v="Expense"/>
        <s v="Income"/>
        <s v="Transfer"/>
      </sharedItems>
    </cacheField>
    <cacheField name="Date" numFmtId="14">
      <sharedItems containsSemiMixedTypes="0" containsNonDate="0" containsDate="1" containsString="0" minDate="2024-01-05T00:00:00" maxDate="2024-12-31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-1500"/>
    <s v="Santander"/>
    <s v="Account"/>
    <x v="0"/>
    <x v="0"/>
    <d v="2024-01-05T00:00:00"/>
    <x v="0"/>
  </r>
  <r>
    <n v="4500"/>
    <s v="Santander"/>
    <s v="Account"/>
    <x v="1"/>
    <x v="1"/>
    <d v="2024-01-10T00:00:00"/>
    <x v="0"/>
  </r>
  <r>
    <n v="-2000"/>
    <s v="Santander"/>
    <s v="Account"/>
    <x v="2"/>
    <x v="0"/>
    <d v="2024-01-11T00:00:00"/>
    <x v="0"/>
  </r>
  <r>
    <n v="-45"/>
    <s v="Millennium"/>
    <s v="Account"/>
    <x v="0"/>
    <x v="0"/>
    <d v="2024-01-14T00:00:00"/>
    <x v="0"/>
  </r>
  <r>
    <n v="-150"/>
    <s v="Santander"/>
    <s v="Credit card"/>
    <x v="3"/>
    <x v="0"/>
    <d v="2024-01-15T00:00:00"/>
    <x v="0"/>
  </r>
  <r>
    <n v="-120"/>
    <s v="Santander"/>
    <s v="Account"/>
    <x v="0"/>
    <x v="0"/>
    <d v="2024-01-16T00:00:00"/>
    <x v="0"/>
  </r>
  <r>
    <n v="500"/>
    <s v="Santander"/>
    <s v="Account"/>
    <x v="4"/>
    <x v="1"/>
    <d v="2024-01-17T00:00:00"/>
    <x v="0"/>
  </r>
  <r>
    <n v="-500"/>
    <s v="Santander"/>
    <s v="Fixed-term deposit"/>
    <x v="5"/>
    <x v="0"/>
    <d v="2024-01-17T00:00:00"/>
    <x v="0"/>
  </r>
  <r>
    <n v="250"/>
    <s v="Millennium"/>
    <s v="Savings account"/>
    <x v="6"/>
    <x v="1"/>
    <d v="2024-01-17T00:00:00"/>
    <x v="0"/>
  </r>
  <r>
    <n v="-25"/>
    <s v="Santander"/>
    <s v="Credit card"/>
    <x v="7"/>
    <x v="0"/>
    <d v="2024-01-19T00:00:00"/>
    <x v="0"/>
  </r>
  <r>
    <n v="-80"/>
    <s v="Santander"/>
    <s v="Account"/>
    <x v="8"/>
    <x v="0"/>
    <d v="2024-01-20T00:00:00"/>
    <x v="0"/>
  </r>
  <r>
    <n v="150"/>
    <s v="Millennium"/>
    <s v="Account"/>
    <x v="4"/>
    <x v="1"/>
    <d v="2024-01-21T00:00:00"/>
    <x v="0"/>
  </r>
  <r>
    <n v="-80"/>
    <s v="Millennium"/>
    <s v="Account"/>
    <x v="9"/>
    <x v="0"/>
    <d v="2024-01-22T00:00:00"/>
    <x v="0"/>
  </r>
  <r>
    <n v="-60"/>
    <s v="Millennium"/>
    <s v="Account"/>
    <x v="7"/>
    <x v="0"/>
    <d v="2024-01-23T00:00:00"/>
    <x v="0"/>
  </r>
  <r>
    <n v="-100"/>
    <s v="Santander"/>
    <s v="Account"/>
    <x v="10"/>
    <x v="0"/>
    <d v="2024-01-24T00:00:00"/>
    <x v="0"/>
  </r>
  <r>
    <n v="-50"/>
    <s v="Wallet"/>
    <s v="Gift card"/>
    <x v="0"/>
    <x v="0"/>
    <d v="2024-01-25T00:00:00"/>
    <x v="0"/>
  </r>
  <r>
    <n v="150"/>
    <s v="Wallet"/>
    <s v="Money"/>
    <x v="4"/>
    <x v="1"/>
    <d v="2024-01-25T00:00:00"/>
    <x v="0"/>
  </r>
  <r>
    <n v="5.5"/>
    <s v="Millennium"/>
    <s v="Savings account"/>
    <x v="11"/>
    <x v="1"/>
    <d v="2024-01-26T00:00:00"/>
    <x v="0"/>
  </r>
  <r>
    <n v="100"/>
    <s v="Santander"/>
    <s v="Fixed-term deposit"/>
    <x v="11"/>
    <x v="1"/>
    <d v="2024-01-27T00:00:00"/>
    <x v="0"/>
  </r>
  <r>
    <n v="-100"/>
    <s v="Santander"/>
    <s v="Account"/>
    <x v="12"/>
    <x v="0"/>
    <d v="2024-01-28T00:00:00"/>
    <x v="0"/>
  </r>
  <r>
    <n v="200"/>
    <s v="Millennium"/>
    <s v="Account"/>
    <x v="4"/>
    <x v="1"/>
    <d v="2024-02-02T00:00:00"/>
    <x v="1"/>
  </r>
  <r>
    <n v="-15"/>
    <s v="Millennium"/>
    <s v="Account"/>
    <x v="5"/>
    <x v="0"/>
    <d v="2024-02-04T00:00:00"/>
    <x v="1"/>
  </r>
  <r>
    <n v="-5.5"/>
    <s v="Santander"/>
    <s v="Account"/>
    <x v="0"/>
    <x v="0"/>
    <d v="2024-02-06T00:00:00"/>
    <x v="1"/>
  </r>
  <r>
    <n v="4500"/>
    <s v="Santander"/>
    <s v="Account"/>
    <x v="1"/>
    <x v="1"/>
    <d v="2024-02-10T00:00:00"/>
    <x v="1"/>
  </r>
  <r>
    <n v="-2000"/>
    <s v="Santander"/>
    <s v="Account"/>
    <x v="2"/>
    <x v="0"/>
    <d v="2024-02-11T00:00:00"/>
    <x v="1"/>
  </r>
  <r>
    <n v="-150"/>
    <s v="Santander"/>
    <s v="Account"/>
    <x v="7"/>
    <x v="0"/>
    <d v="2024-02-13T00:00:00"/>
    <x v="1"/>
  </r>
  <r>
    <n v="500"/>
    <s v="Santander"/>
    <s v="Account"/>
    <x v="4"/>
    <x v="1"/>
    <d v="2024-02-14T00:00:00"/>
    <x v="1"/>
  </r>
  <r>
    <n v="-300"/>
    <s v="Santander"/>
    <s v="Account"/>
    <x v="0"/>
    <x v="0"/>
    <d v="2024-02-14T00:00:00"/>
    <x v="1"/>
  </r>
  <r>
    <n v="-500"/>
    <s v="Santander"/>
    <s v="Fixed-term deposit"/>
    <x v="5"/>
    <x v="0"/>
    <d v="2024-02-14T00:00:00"/>
    <x v="1"/>
  </r>
  <r>
    <n v="-200"/>
    <s v="Wallet"/>
    <s v="Money"/>
    <x v="5"/>
    <x v="0"/>
    <d v="2024-02-14T00:00:00"/>
    <x v="1"/>
  </r>
  <r>
    <n v="175"/>
    <s v="Santander"/>
    <s v="Credit card"/>
    <x v="13"/>
    <x v="2"/>
    <d v="2024-02-15T00:00:00"/>
    <x v="1"/>
  </r>
  <r>
    <n v="-175"/>
    <s v="Santander"/>
    <s v="Account"/>
    <x v="13"/>
    <x v="2"/>
    <d v="2024-02-15T00:00:00"/>
    <x v="1"/>
  </r>
  <r>
    <n v="-100"/>
    <s v="Santander"/>
    <s v="Account"/>
    <x v="10"/>
    <x v="0"/>
    <d v="2024-02-17T00:00:00"/>
    <x v="1"/>
  </r>
  <r>
    <n v="-80"/>
    <s v="Santander"/>
    <s v="Account"/>
    <x v="8"/>
    <x v="0"/>
    <d v="2024-02-20T00:00:00"/>
    <x v="1"/>
  </r>
  <r>
    <n v="150"/>
    <s v="Wallet"/>
    <s v="Money"/>
    <x v="4"/>
    <x v="1"/>
    <d v="2024-02-22T00:00:00"/>
    <x v="1"/>
  </r>
  <r>
    <n v="100"/>
    <s v="Wallet"/>
    <s v="Gift card"/>
    <x v="4"/>
    <x v="1"/>
    <d v="2024-02-23T00:00:00"/>
    <x v="1"/>
  </r>
  <r>
    <n v="-200"/>
    <s v="Wallet"/>
    <s v="Money"/>
    <x v="7"/>
    <x v="0"/>
    <d v="2024-02-24T00:00:00"/>
    <x v="1"/>
  </r>
  <r>
    <n v="1000"/>
    <s v="Wallet"/>
    <s v="Money"/>
    <x v="4"/>
    <x v="1"/>
    <d v="2024-02-25T00:00:00"/>
    <x v="1"/>
  </r>
  <r>
    <n v="-250"/>
    <s v="Wallet"/>
    <s v="Money"/>
    <x v="12"/>
    <x v="0"/>
    <d v="2024-02-25T00:00:00"/>
    <x v="1"/>
  </r>
  <r>
    <n v="-100"/>
    <s v="Millennium"/>
    <s v="Account"/>
    <x v="0"/>
    <x v="0"/>
    <d v="2024-02-26T00:00:00"/>
    <x v="1"/>
  </r>
  <r>
    <n v="-50"/>
    <s v="Millennium"/>
    <s v="Account"/>
    <x v="5"/>
    <x v="0"/>
    <d v="2024-02-26T00:00:00"/>
    <x v="1"/>
  </r>
  <r>
    <n v="15"/>
    <s v="Millennium"/>
    <s v="Savings account"/>
    <x v="11"/>
    <x v="1"/>
    <d v="2024-02-27T00:00:00"/>
    <x v="1"/>
  </r>
  <r>
    <n v="-150"/>
    <s v="Santander"/>
    <s v="Account"/>
    <x v="3"/>
    <x v="0"/>
    <d v="2024-02-28T00:00:00"/>
    <x v="1"/>
  </r>
  <r>
    <n v="100"/>
    <s v="Santander"/>
    <s v="Fixed-term deposit"/>
    <x v="11"/>
    <x v="1"/>
    <d v="2024-02-28T00:00:00"/>
    <x v="1"/>
  </r>
  <r>
    <n v="-25"/>
    <s v="Santander"/>
    <s v="Credit card"/>
    <x v="0"/>
    <x v="0"/>
    <d v="2024-03-01T00:00:00"/>
    <x v="2"/>
  </r>
  <r>
    <n v="-135.5"/>
    <s v="Santander"/>
    <s v="Account"/>
    <x v="0"/>
    <x v="0"/>
    <d v="2024-03-02T00:00:00"/>
    <x v="2"/>
  </r>
  <r>
    <n v="-82.5"/>
    <s v="Millennium"/>
    <s v="Account"/>
    <x v="8"/>
    <x v="0"/>
    <d v="2024-03-02T00:00:00"/>
    <x v="2"/>
  </r>
  <r>
    <n v="-200"/>
    <s v="Santander"/>
    <s v="Account"/>
    <x v="7"/>
    <x v="0"/>
    <d v="2024-03-04T00:00:00"/>
    <x v="2"/>
  </r>
  <r>
    <n v="150"/>
    <s v="Millennium"/>
    <s v="Account"/>
    <x v="11"/>
    <x v="1"/>
    <d v="2024-03-06T00:00:00"/>
    <x v="2"/>
  </r>
  <r>
    <n v="-24.49"/>
    <s v="Wallet"/>
    <s v="Gift card"/>
    <x v="0"/>
    <x v="0"/>
    <d v="2024-03-08T00:00:00"/>
    <x v="2"/>
  </r>
  <r>
    <n v="4500"/>
    <s v="Santander"/>
    <s v="Account"/>
    <x v="1"/>
    <x v="1"/>
    <d v="2024-03-10T00:00:00"/>
    <x v="2"/>
  </r>
  <r>
    <n v="-2000"/>
    <s v="Santander"/>
    <s v="Account"/>
    <x v="2"/>
    <x v="0"/>
    <d v="2024-03-11T00:00:00"/>
    <x v="2"/>
  </r>
  <r>
    <n v="-200"/>
    <s v="Santander"/>
    <s v="Account"/>
    <x v="0"/>
    <x v="0"/>
    <d v="2024-03-12T00:00:00"/>
    <x v="2"/>
  </r>
  <r>
    <n v="-469.9"/>
    <s v="Santander"/>
    <s v="Account"/>
    <x v="9"/>
    <x v="0"/>
    <d v="2024-03-13T00:00:00"/>
    <x v="2"/>
  </r>
  <r>
    <n v="-9.5"/>
    <s v="Wallet"/>
    <s v="Money"/>
    <x v="12"/>
    <x v="0"/>
    <d v="2024-03-17T00:00:00"/>
    <x v="2"/>
  </r>
  <r>
    <n v="-23"/>
    <s v="Santander"/>
    <s v="Account"/>
    <x v="3"/>
    <x v="0"/>
    <d v="2024-03-20T00:00:00"/>
    <x v="2"/>
  </r>
  <r>
    <n v="-150"/>
    <s v="Santander"/>
    <s v="Account"/>
    <x v="0"/>
    <x v="0"/>
    <d v="2024-03-22T00:00:00"/>
    <x v="2"/>
  </r>
  <r>
    <n v="-300"/>
    <s v="Santander"/>
    <s v="Account"/>
    <x v="5"/>
    <x v="0"/>
    <d v="2024-03-24T00:00:00"/>
    <x v="2"/>
  </r>
  <r>
    <n v="5"/>
    <s v="Millennium"/>
    <s v="Savings account"/>
    <x v="14"/>
    <x v="1"/>
    <d v="2024-03-26T00:00:00"/>
    <x v="2"/>
  </r>
  <r>
    <n v="-79.5"/>
    <s v="Santander"/>
    <s v="Credit card"/>
    <x v="10"/>
    <x v="0"/>
    <d v="2024-03-28T00:00:00"/>
    <x v="2"/>
  </r>
  <r>
    <n v="-200"/>
    <s v="Santander"/>
    <s v="Account"/>
    <x v="0"/>
    <x v="0"/>
    <d v="2024-03-30T00:00:00"/>
    <x v="2"/>
  </r>
  <r>
    <n v="-23.5"/>
    <s v="Santander"/>
    <s v="Credit card"/>
    <x v="12"/>
    <x v="0"/>
    <d v="2024-04-01T00:00:00"/>
    <x v="3"/>
  </r>
  <r>
    <n v="-82.5"/>
    <s v="Santander"/>
    <s v="Account"/>
    <x v="8"/>
    <x v="0"/>
    <d v="2024-04-02T00:00:00"/>
    <x v="3"/>
  </r>
  <r>
    <n v="150"/>
    <s v="Millennium"/>
    <s v="Account"/>
    <x v="11"/>
    <x v="1"/>
    <d v="2024-04-06T00:00:00"/>
    <x v="3"/>
  </r>
  <r>
    <n v="-99.97"/>
    <s v="Santander"/>
    <s v="Account"/>
    <x v="0"/>
    <x v="0"/>
    <d v="2024-04-07T00:00:00"/>
    <x v="3"/>
  </r>
  <r>
    <n v="4500"/>
    <s v="Santander"/>
    <s v="Account"/>
    <x v="1"/>
    <x v="1"/>
    <d v="2024-04-10T00:00:00"/>
    <x v="3"/>
  </r>
  <r>
    <n v="-2000"/>
    <s v="Santander"/>
    <s v="Account"/>
    <x v="2"/>
    <x v="0"/>
    <d v="2024-04-11T00:00:00"/>
    <x v="3"/>
  </r>
  <r>
    <n v="-149"/>
    <s v="Santander"/>
    <s v="Account"/>
    <x v="9"/>
    <x v="0"/>
    <d v="2024-04-13T00:00:00"/>
    <x v="3"/>
  </r>
  <r>
    <n v="104.5"/>
    <s v="Santander"/>
    <s v="Credit card"/>
    <x v="13"/>
    <x v="2"/>
    <d v="2024-04-15T00:00:00"/>
    <x v="3"/>
  </r>
  <r>
    <n v="-104.5"/>
    <s v="Santander"/>
    <s v="Account"/>
    <x v="13"/>
    <x v="2"/>
    <d v="2024-04-15T00:00:00"/>
    <x v="3"/>
  </r>
  <r>
    <n v="-49"/>
    <s v="Millennium"/>
    <s v="Account"/>
    <x v="3"/>
    <x v="0"/>
    <d v="2024-04-15T00:00:00"/>
    <x v="3"/>
  </r>
  <r>
    <n v="-9.99"/>
    <s v="Santander"/>
    <s v="Credit card"/>
    <x v="0"/>
    <x v="0"/>
    <d v="2024-04-16T00:00:00"/>
    <x v="3"/>
  </r>
  <r>
    <n v="-100"/>
    <s v="Santander"/>
    <s v="Account"/>
    <x v="5"/>
    <x v="0"/>
    <d v="2024-04-17T00:00:00"/>
    <x v="3"/>
  </r>
  <r>
    <n v="-57.9"/>
    <s v="Santander"/>
    <s v="Credit card"/>
    <x v="7"/>
    <x v="0"/>
    <d v="2024-04-19T00:00:00"/>
    <x v="3"/>
  </r>
  <r>
    <n v="-159.9"/>
    <s v="Santander"/>
    <s v="Account"/>
    <x v="0"/>
    <x v="0"/>
    <d v="2024-04-21T00:00:00"/>
    <x v="3"/>
  </r>
  <r>
    <n v="-1000"/>
    <s v="Santander"/>
    <s v="Account"/>
    <x v="7"/>
    <x v="0"/>
    <d v="2024-04-23T00:00:00"/>
    <x v="3"/>
  </r>
  <r>
    <n v="50"/>
    <s v="Millennium"/>
    <s v="Savings account"/>
    <x v="14"/>
    <x v="1"/>
    <d v="2024-04-25T00:00:00"/>
    <x v="3"/>
  </r>
  <r>
    <n v="-69.900000000000006"/>
    <s v="Santander"/>
    <s v="Account"/>
    <x v="0"/>
    <x v="0"/>
    <d v="2024-04-27T00:00:00"/>
    <x v="3"/>
  </r>
  <r>
    <n v="-32.5"/>
    <s v="Santander"/>
    <s v="Account"/>
    <x v="0"/>
    <x v="0"/>
    <d v="2024-04-28T00:00:00"/>
    <x v="3"/>
  </r>
  <r>
    <n v="-139"/>
    <s v="Santander"/>
    <s v="Account"/>
    <x v="10"/>
    <x v="0"/>
    <d v="2024-04-29T00:00:00"/>
    <x v="3"/>
  </r>
  <r>
    <n v="-250"/>
    <s v="Santander"/>
    <s v="Credit card"/>
    <x v="0"/>
    <x v="0"/>
    <d v="2024-05-07T00:00:00"/>
    <x v="4"/>
  </r>
  <r>
    <n v="-80"/>
    <s v="Santander"/>
    <s v="Account"/>
    <x v="8"/>
    <x v="0"/>
    <d v="2024-05-10T00:00:00"/>
    <x v="4"/>
  </r>
  <r>
    <n v="4500"/>
    <s v="Santander"/>
    <s v="Account"/>
    <x v="1"/>
    <x v="1"/>
    <d v="2024-05-10T00:00:00"/>
    <x v="4"/>
  </r>
  <r>
    <n v="-2000"/>
    <s v="Santander"/>
    <s v="Account"/>
    <x v="2"/>
    <x v="0"/>
    <d v="2024-05-11T00:00:00"/>
    <x v="4"/>
  </r>
  <r>
    <n v="-250"/>
    <s v="Santander"/>
    <s v="Credit card"/>
    <x v="0"/>
    <x v="0"/>
    <d v="2024-05-14T00:00:00"/>
    <x v="4"/>
  </r>
  <r>
    <n v="91.39"/>
    <s v="Santander"/>
    <s v="Credit card"/>
    <x v="13"/>
    <x v="2"/>
    <d v="2024-05-15T00:00:00"/>
    <x v="4"/>
  </r>
  <r>
    <n v="-91.39"/>
    <s v="Santander"/>
    <s v="Account"/>
    <x v="13"/>
    <x v="2"/>
    <d v="2024-05-15T00:00:00"/>
    <x v="4"/>
  </r>
  <r>
    <n v="-250"/>
    <s v="Santander"/>
    <s v="Credit card"/>
    <x v="0"/>
    <x v="0"/>
    <d v="2024-05-21T00:00:00"/>
    <x v="4"/>
  </r>
  <r>
    <n v="-250"/>
    <s v="Santander"/>
    <s v="Credit card"/>
    <x v="0"/>
    <x v="0"/>
    <d v="2024-05-28T00:00:00"/>
    <x v="4"/>
  </r>
  <r>
    <n v="-50"/>
    <s v="Millennium"/>
    <s v="Account"/>
    <x v="3"/>
    <x v="0"/>
    <d v="2024-05-29T00:00:00"/>
    <x v="4"/>
  </r>
  <r>
    <n v="-80"/>
    <s v="Wallet"/>
    <s v="Money"/>
    <x v="7"/>
    <x v="0"/>
    <d v="2024-05-30T00:00:00"/>
    <x v="4"/>
  </r>
  <r>
    <n v="-250"/>
    <s v="Santander"/>
    <s v="Credit card"/>
    <x v="0"/>
    <x v="0"/>
    <d v="2024-06-07T00:00:00"/>
    <x v="5"/>
  </r>
  <r>
    <n v="-80"/>
    <s v="Santander"/>
    <s v="Account"/>
    <x v="8"/>
    <x v="0"/>
    <d v="2024-06-10T00:00:00"/>
    <x v="5"/>
  </r>
  <r>
    <n v="4500"/>
    <s v="Santander"/>
    <s v="Account"/>
    <x v="1"/>
    <x v="1"/>
    <d v="2024-06-10T00:00:00"/>
    <x v="5"/>
  </r>
  <r>
    <n v="-2000"/>
    <s v="Santander"/>
    <s v="Account"/>
    <x v="2"/>
    <x v="0"/>
    <d v="2024-06-11T00:00:00"/>
    <x v="5"/>
  </r>
  <r>
    <n v="-250"/>
    <s v="Santander"/>
    <s v="Credit card"/>
    <x v="0"/>
    <x v="0"/>
    <d v="2024-06-14T00:00:00"/>
    <x v="5"/>
  </r>
  <r>
    <n v="1000"/>
    <s v="Santander"/>
    <s v="Credit card"/>
    <x v="13"/>
    <x v="2"/>
    <d v="2024-06-15T00:00:00"/>
    <x v="5"/>
  </r>
  <r>
    <n v="-1000"/>
    <s v="Santander"/>
    <s v="Account"/>
    <x v="13"/>
    <x v="2"/>
    <d v="2024-06-15T00:00:00"/>
    <x v="5"/>
  </r>
  <r>
    <n v="-100"/>
    <s v="Millennium"/>
    <s v="Account"/>
    <x v="12"/>
    <x v="0"/>
    <d v="2024-06-15T00:00:00"/>
    <x v="5"/>
  </r>
  <r>
    <n v="-250"/>
    <s v="Santander"/>
    <s v="Credit card"/>
    <x v="0"/>
    <x v="0"/>
    <d v="2024-06-21T00:00:00"/>
    <x v="5"/>
  </r>
  <r>
    <n v="-250"/>
    <s v="Santander"/>
    <s v="Credit card"/>
    <x v="0"/>
    <x v="0"/>
    <d v="2024-06-28T00:00:00"/>
    <x v="5"/>
  </r>
  <r>
    <n v="-300"/>
    <s v="Santander"/>
    <s v="Credit card"/>
    <x v="9"/>
    <x v="0"/>
    <d v="2024-06-28T00:00:00"/>
    <x v="5"/>
  </r>
  <r>
    <n v="-50"/>
    <s v="Millennium"/>
    <s v="Account"/>
    <x v="3"/>
    <x v="0"/>
    <d v="2024-06-29T00:00:00"/>
    <x v="5"/>
  </r>
  <r>
    <n v="400"/>
    <s v="Millennium"/>
    <s v="Account"/>
    <x v="6"/>
    <x v="1"/>
    <d v="2024-06-29T00:00:00"/>
    <x v="5"/>
  </r>
  <r>
    <n v="-200"/>
    <s v="Wallet"/>
    <s v="Money"/>
    <x v="7"/>
    <x v="0"/>
    <d v="2024-06-30T00:00:00"/>
    <x v="5"/>
  </r>
  <r>
    <n v="-30"/>
    <s v="Wallet"/>
    <s v="Gift card"/>
    <x v="0"/>
    <x v="0"/>
    <d v="2024-07-03T00:00:00"/>
    <x v="6"/>
  </r>
  <r>
    <n v="-100"/>
    <s v="Santander"/>
    <s v="Account"/>
    <x v="7"/>
    <x v="0"/>
    <d v="2024-07-07T00:00:00"/>
    <x v="6"/>
  </r>
  <r>
    <n v="4500"/>
    <s v="Santander"/>
    <s v="Account"/>
    <x v="1"/>
    <x v="1"/>
    <d v="2024-07-10T00:00:00"/>
    <x v="6"/>
  </r>
  <r>
    <n v="-2000"/>
    <s v="Santander"/>
    <s v="Account"/>
    <x v="2"/>
    <x v="0"/>
    <d v="2024-07-11T00:00:00"/>
    <x v="6"/>
  </r>
  <r>
    <n v="-40"/>
    <s v="Santander"/>
    <s v="Credit card"/>
    <x v="0"/>
    <x v="0"/>
    <d v="2024-07-14T00:00:00"/>
    <x v="6"/>
  </r>
  <r>
    <n v="1300"/>
    <s v="Santander"/>
    <s v="Credit card"/>
    <x v="13"/>
    <x v="2"/>
    <d v="2024-07-15T00:00:00"/>
    <x v="6"/>
  </r>
  <r>
    <n v="-1300"/>
    <s v="Santander"/>
    <s v="Account"/>
    <x v="13"/>
    <x v="2"/>
    <d v="2024-07-15T00:00:00"/>
    <x v="6"/>
  </r>
  <r>
    <n v="-300"/>
    <s v="Santander"/>
    <s v="Fixed-term deposit"/>
    <x v="12"/>
    <x v="0"/>
    <d v="2024-07-16T00:00:00"/>
    <x v="6"/>
  </r>
  <r>
    <n v="800"/>
    <s v="Millennium"/>
    <s v="Savings account"/>
    <x v="14"/>
    <x v="1"/>
    <d v="2024-07-18T00:00:00"/>
    <x v="6"/>
  </r>
  <r>
    <n v="-600"/>
    <s v="Millennium"/>
    <s v="Account"/>
    <x v="7"/>
    <x v="0"/>
    <d v="2024-07-21T00:00:00"/>
    <x v="6"/>
  </r>
  <r>
    <n v="120"/>
    <s v="Santander"/>
    <s v="Fixed-term deposit"/>
    <x v="11"/>
    <x v="1"/>
    <d v="2024-07-22T00:00:00"/>
    <x v="6"/>
  </r>
  <r>
    <n v="-90"/>
    <s v="Santander"/>
    <s v="Account"/>
    <x v="8"/>
    <x v="0"/>
    <d v="2024-07-24T00:00:00"/>
    <x v="6"/>
  </r>
  <r>
    <n v="-50"/>
    <s v="Santander"/>
    <s v="Credit card"/>
    <x v="0"/>
    <x v="0"/>
    <d v="2024-07-26T00:00:00"/>
    <x v="6"/>
  </r>
  <r>
    <n v="250"/>
    <s v="Millennium"/>
    <s v="Savings account"/>
    <x v="9"/>
    <x v="0"/>
    <d v="2024-07-29T00:00:00"/>
    <x v="6"/>
  </r>
  <r>
    <n v="500"/>
    <s v="Millennium"/>
    <s v="Account"/>
    <x v="15"/>
    <x v="1"/>
    <d v="2024-07-30T00:00:00"/>
    <x v="6"/>
  </r>
  <r>
    <n v="-45"/>
    <s v="Santander"/>
    <s v="Credit card"/>
    <x v="0"/>
    <x v="0"/>
    <d v="2024-07-31T00:00:00"/>
    <x v="6"/>
  </r>
  <r>
    <n v="-600"/>
    <s v="Santander"/>
    <s v="Account"/>
    <x v="0"/>
    <x v="0"/>
    <d v="2024-08-01T00:00:00"/>
    <x v="7"/>
  </r>
  <r>
    <n v="-1020"/>
    <s v="Santander"/>
    <s v="Fixed-term deposit"/>
    <x v="13"/>
    <x v="2"/>
    <d v="2024-08-01T00:00:00"/>
    <x v="7"/>
  </r>
  <r>
    <n v="-200"/>
    <s v="Millennium"/>
    <s v="Account"/>
    <x v="8"/>
    <x v="0"/>
    <d v="2024-08-01T00:00:00"/>
    <x v="7"/>
  </r>
  <r>
    <n v="1020"/>
    <s v="Santander"/>
    <s v="Account"/>
    <x v="13"/>
    <x v="2"/>
    <d v="2024-08-01T00:00:00"/>
    <x v="7"/>
  </r>
  <r>
    <n v="-70"/>
    <s v="Santander"/>
    <s v="Credit card"/>
    <x v="0"/>
    <x v="0"/>
    <d v="2024-08-09T00:00:00"/>
    <x v="7"/>
  </r>
  <r>
    <n v="4500"/>
    <s v="Santander"/>
    <s v="Account"/>
    <x v="1"/>
    <x v="1"/>
    <d v="2024-08-10T00:00:00"/>
    <x v="7"/>
  </r>
  <r>
    <n v="-2000"/>
    <s v="Santander"/>
    <s v="Account"/>
    <x v="2"/>
    <x v="0"/>
    <d v="2024-08-11T00:00:00"/>
    <x v="7"/>
  </r>
  <r>
    <n v="-100"/>
    <s v="Millennium"/>
    <s v="Account"/>
    <x v="7"/>
    <x v="0"/>
    <d v="2024-08-14T00:00:00"/>
    <x v="7"/>
  </r>
  <r>
    <n v="135"/>
    <s v="Santander"/>
    <s v="Credit card"/>
    <x v="13"/>
    <x v="2"/>
    <d v="2024-08-15T00:00:00"/>
    <x v="7"/>
  </r>
  <r>
    <n v="-135"/>
    <s v="Santander"/>
    <s v="Account"/>
    <x v="13"/>
    <x v="2"/>
    <d v="2024-08-15T00:00:00"/>
    <x v="7"/>
  </r>
  <r>
    <n v="-400"/>
    <s v="Santander"/>
    <s v="Account"/>
    <x v="12"/>
    <x v="0"/>
    <d v="2024-08-16T00:00:00"/>
    <x v="7"/>
  </r>
  <r>
    <n v="-32"/>
    <s v="Santander"/>
    <s v="Credit card"/>
    <x v="0"/>
    <x v="0"/>
    <d v="2024-08-18T00:00:00"/>
    <x v="7"/>
  </r>
  <r>
    <n v="200"/>
    <s v="Wallet"/>
    <s v="Money"/>
    <x v="14"/>
    <x v="1"/>
    <d v="2024-08-20T00:00:00"/>
    <x v="7"/>
  </r>
  <r>
    <n v="-150"/>
    <s v="Wallet"/>
    <s v="Money"/>
    <x v="7"/>
    <x v="0"/>
    <d v="2024-08-22T00:00:00"/>
    <x v="7"/>
  </r>
  <r>
    <n v="-47.5"/>
    <s v="Wallet"/>
    <s v="Money"/>
    <x v="0"/>
    <x v="0"/>
    <d v="2024-08-23T00:00:00"/>
    <x v="7"/>
  </r>
  <r>
    <n v="-90"/>
    <s v="Santander"/>
    <s v="Account"/>
    <x v="8"/>
    <x v="0"/>
    <d v="2024-08-24T00:00:00"/>
    <x v="7"/>
  </r>
  <r>
    <n v="-300"/>
    <s v="Millennium"/>
    <s v="Savings account"/>
    <x v="9"/>
    <x v="0"/>
    <d v="2024-08-27T00:00:00"/>
    <x v="7"/>
  </r>
  <r>
    <n v="500"/>
    <s v="Millennium"/>
    <s v="Account"/>
    <x v="15"/>
    <x v="1"/>
    <d v="2024-08-30T00:00:00"/>
    <x v="7"/>
  </r>
  <r>
    <n v="200"/>
    <s v="Santander"/>
    <s v="Account"/>
    <x v="14"/>
    <x v="1"/>
    <d v="2024-08-31T00:00:00"/>
    <x v="7"/>
  </r>
  <r>
    <n v="-150"/>
    <s v="Santander"/>
    <s v="Account"/>
    <x v="8"/>
    <x v="0"/>
    <d v="2024-09-01T00:00:00"/>
    <x v="8"/>
  </r>
  <r>
    <n v="-20"/>
    <s v="Millennium"/>
    <s v="Account"/>
    <x v="0"/>
    <x v="0"/>
    <d v="2024-09-04T00:00:00"/>
    <x v="8"/>
  </r>
  <r>
    <n v="-40"/>
    <s v="Santander"/>
    <s v="Account"/>
    <x v="3"/>
    <x v="0"/>
    <d v="2024-09-07T00:00:00"/>
    <x v="8"/>
  </r>
  <r>
    <n v="-500"/>
    <s v="Santander"/>
    <s v="Account"/>
    <x v="0"/>
    <x v="0"/>
    <d v="2024-09-08T00:00:00"/>
    <x v="8"/>
  </r>
  <r>
    <n v="4500"/>
    <s v="Santander"/>
    <s v="Account"/>
    <x v="1"/>
    <x v="1"/>
    <d v="2024-09-10T00:00:00"/>
    <x v="8"/>
  </r>
  <r>
    <n v="-20"/>
    <s v="Santander"/>
    <s v="Credit card"/>
    <x v="7"/>
    <x v="0"/>
    <d v="2024-09-11T00:00:00"/>
    <x v="8"/>
  </r>
  <r>
    <n v="-2000"/>
    <s v="Santander"/>
    <s v="Account"/>
    <x v="2"/>
    <x v="0"/>
    <d v="2024-09-11T00:00:00"/>
    <x v="8"/>
  </r>
  <r>
    <n v="102"/>
    <s v="Santander"/>
    <s v="Credit card"/>
    <x v="13"/>
    <x v="2"/>
    <d v="2024-09-15T00:00:00"/>
    <x v="8"/>
  </r>
  <r>
    <n v="-102"/>
    <s v="Santander"/>
    <s v="Account"/>
    <x v="13"/>
    <x v="2"/>
    <d v="2024-09-15T00:00:00"/>
    <x v="8"/>
  </r>
  <r>
    <n v="-18.5"/>
    <s v="Santander"/>
    <s v="Account"/>
    <x v="0"/>
    <x v="0"/>
    <d v="2024-09-18T00:00:00"/>
    <x v="8"/>
  </r>
  <r>
    <n v="-150"/>
    <s v="Santander"/>
    <s v="Account"/>
    <x v="8"/>
    <x v="0"/>
    <d v="2024-10-01T00:00:00"/>
    <x v="9"/>
  </r>
  <r>
    <n v="-40"/>
    <s v="Santander"/>
    <s v="Account"/>
    <x v="3"/>
    <x v="0"/>
    <d v="2024-10-07T00:00:00"/>
    <x v="9"/>
  </r>
  <r>
    <n v="-600"/>
    <s v="Santander"/>
    <s v="Account"/>
    <x v="0"/>
    <x v="0"/>
    <d v="2024-10-08T00:00:00"/>
    <x v="9"/>
  </r>
  <r>
    <n v="4500"/>
    <s v="Santander"/>
    <s v="Account"/>
    <x v="1"/>
    <x v="1"/>
    <d v="2024-10-10T00:00:00"/>
    <x v="9"/>
  </r>
  <r>
    <n v="-40"/>
    <s v="Santander"/>
    <s v="Credit card"/>
    <x v="7"/>
    <x v="0"/>
    <d v="2024-10-11T00:00:00"/>
    <x v="9"/>
  </r>
  <r>
    <n v="-2000"/>
    <s v="Santander"/>
    <s v="Account"/>
    <x v="2"/>
    <x v="0"/>
    <d v="2024-10-11T00:00:00"/>
    <x v="9"/>
  </r>
  <r>
    <n v="20"/>
    <s v="Santander"/>
    <s v="Credit card"/>
    <x v="13"/>
    <x v="2"/>
    <d v="2024-10-15T00:00:00"/>
    <x v="9"/>
  </r>
  <r>
    <n v="-20"/>
    <s v="Santander"/>
    <s v="Account"/>
    <x v="13"/>
    <x v="2"/>
    <d v="2024-10-15T00:00:00"/>
    <x v="9"/>
  </r>
  <r>
    <n v="4500"/>
    <s v="Santander"/>
    <s v="Account"/>
    <x v="1"/>
    <x v="1"/>
    <d v="2024-11-10T00:00:00"/>
    <x v="10"/>
  </r>
  <r>
    <n v="-2000"/>
    <s v="Santander"/>
    <s v="Account"/>
    <x v="2"/>
    <x v="0"/>
    <d v="2024-11-11T00:00:00"/>
    <x v="10"/>
  </r>
  <r>
    <n v="-82"/>
    <s v="Santander"/>
    <s v="Account"/>
    <x v="8"/>
    <x v="0"/>
    <d v="2024-11-11T00:00:00"/>
    <x v="10"/>
  </r>
  <r>
    <n v="-200"/>
    <s v="Santander"/>
    <s v="Account"/>
    <x v="0"/>
    <x v="0"/>
    <d v="2024-11-11T00:00:00"/>
    <x v="10"/>
  </r>
  <r>
    <n v="-12"/>
    <s v="Santander"/>
    <s v="Account"/>
    <x v="3"/>
    <x v="0"/>
    <d v="2024-11-12T00:00:00"/>
    <x v="10"/>
  </r>
  <r>
    <n v="-90"/>
    <s v="Santander"/>
    <s v="Account"/>
    <x v="7"/>
    <x v="0"/>
    <d v="2024-11-14T00:00:00"/>
    <x v="10"/>
  </r>
  <r>
    <n v="40"/>
    <s v="Santander"/>
    <s v="Credit card"/>
    <x v="13"/>
    <x v="2"/>
    <d v="2024-11-15T00:00:00"/>
    <x v="10"/>
  </r>
  <r>
    <n v="-40"/>
    <s v="Santander"/>
    <s v="Account"/>
    <x v="13"/>
    <x v="2"/>
    <d v="2024-11-15T00:00:00"/>
    <x v="10"/>
  </r>
  <r>
    <n v="-28"/>
    <s v="Santander"/>
    <s v="Account"/>
    <x v="0"/>
    <x v="0"/>
    <d v="2024-11-16T00:00:00"/>
    <x v="10"/>
  </r>
  <r>
    <n v="-63"/>
    <s v="Santander"/>
    <s v="Account"/>
    <x v="12"/>
    <x v="0"/>
    <d v="2024-11-17T00:00:00"/>
    <x v="10"/>
  </r>
  <r>
    <n v="-15"/>
    <s v="Santander"/>
    <s v="Account"/>
    <x v="8"/>
    <x v="0"/>
    <d v="2024-11-17T00:00:00"/>
    <x v="10"/>
  </r>
  <r>
    <n v="-44"/>
    <s v="Santander"/>
    <s v="Account"/>
    <x v="0"/>
    <x v="0"/>
    <d v="2024-11-19T00:00:00"/>
    <x v="10"/>
  </r>
  <r>
    <n v="-107"/>
    <s v="Santander"/>
    <s v="Account"/>
    <x v="9"/>
    <x v="0"/>
    <d v="2024-11-20T00:00:00"/>
    <x v="10"/>
  </r>
  <r>
    <n v="-169"/>
    <s v="Santander"/>
    <s v="Account"/>
    <x v="5"/>
    <x v="0"/>
    <d v="2024-11-21T00:00:00"/>
    <x v="10"/>
  </r>
  <r>
    <n v="-51"/>
    <s v="Santander"/>
    <s v="Account"/>
    <x v="9"/>
    <x v="0"/>
    <d v="2024-11-22T00:00:00"/>
    <x v="10"/>
  </r>
  <r>
    <n v="-80"/>
    <s v="Santander"/>
    <s v="Account"/>
    <x v="0"/>
    <x v="0"/>
    <d v="2024-11-22T00:00:00"/>
    <x v="10"/>
  </r>
  <r>
    <n v="-70"/>
    <s v="Santander"/>
    <s v="Account"/>
    <x v="12"/>
    <x v="0"/>
    <d v="2024-11-22T00:00:00"/>
    <x v="10"/>
  </r>
  <r>
    <n v="-35"/>
    <s v="Santander"/>
    <s v="Account"/>
    <x v="3"/>
    <x v="0"/>
    <d v="2024-11-23T00:00:00"/>
    <x v="10"/>
  </r>
  <r>
    <n v="-11"/>
    <s v="Santander"/>
    <s v="Account"/>
    <x v="8"/>
    <x v="0"/>
    <d v="2024-11-23T00:00:00"/>
    <x v="10"/>
  </r>
  <r>
    <n v="-80"/>
    <s v="Santander"/>
    <s v="Account"/>
    <x v="7"/>
    <x v="0"/>
    <d v="2024-11-25T00:00:00"/>
    <x v="10"/>
  </r>
  <r>
    <n v="-58"/>
    <s v="Santander"/>
    <s v="Account"/>
    <x v="0"/>
    <x v="0"/>
    <d v="2024-11-26T00:00:00"/>
    <x v="10"/>
  </r>
  <r>
    <n v="-52"/>
    <s v="Santander"/>
    <s v="Account"/>
    <x v="8"/>
    <x v="0"/>
    <d v="2024-11-27T00:00:00"/>
    <x v="10"/>
  </r>
  <r>
    <n v="-44"/>
    <s v="Santander"/>
    <s v="Account"/>
    <x v="7"/>
    <x v="0"/>
    <d v="2024-11-27T00:00:00"/>
    <x v="10"/>
  </r>
  <r>
    <n v="-48"/>
    <s v="Santander"/>
    <s v="Account"/>
    <x v="8"/>
    <x v="0"/>
    <d v="2024-11-27T00:00:00"/>
    <x v="10"/>
  </r>
  <r>
    <n v="-65"/>
    <s v="Santander"/>
    <s v="Account"/>
    <x v="5"/>
    <x v="0"/>
    <d v="2024-11-28T00:00:00"/>
    <x v="10"/>
  </r>
  <r>
    <n v="400"/>
    <s v="Wallet"/>
    <s v="Money"/>
    <x v="14"/>
    <x v="1"/>
    <d v="2024-11-29T00:00:00"/>
    <x v="10"/>
  </r>
  <r>
    <n v="-96"/>
    <s v="Santander"/>
    <s v="Account"/>
    <x v="0"/>
    <x v="0"/>
    <d v="2024-11-30T00:00:00"/>
    <x v="10"/>
  </r>
  <r>
    <n v="-50"/>
    <s v="Santander"/>
    <s v="Account"/>
    <x v="0"/>
    <x v="0"/>
    <d v="2024-12-01T00:00:00"/>
    <x v="11"/>
  </r>
  <r>
    <n v="-50"/>
    <s v="Santander"/>
    <s v="Account"/>
    <x v="0"/>
    <x v="0"/>
    <d v="2024-12-01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150"/>
    <s v="Santander"/>
    <s v="Account"/>
    <x v="7"/>
    <x v="0"/>
    <d v="2024-12-03T00:00:00"/>
    <x v="11"/>
  </r>
  <r>
    <n v="-150"/>
    <s v="Santander"/>
    <s v="Account"/>
    <x v="7"/>
    <x v="0"/>
    <d v="2024-12-03T00:00:00"/>
    <x v="11"/>
  </r>
  <r>
    <n v="-100"/>
    <s v="Santander"/>
    <s v="Account"/>
    <x v="0"/>
    <x v="0"/>
    <d v="2024-12-06T00:00:00"/>
    <x v="11"/>
  </r>
  <r>
    <n v="-100"/>
    <s v="Santander"/>
    <s v="Account"/>
    <x v="0"/>
    <x v="0"/>
    <d v="2024-12-06T00:00:00"/>
    <x v="11"/>
  </r>
  <r>
    <n v="4500"/>
    <s v="Santander"/>
    <s v="Account"/>
    <x v="1"/>
    <x v="1"/>
    <d v="2024-12-10T00:00:00"/>
    <x v="11"/>
  </r>
  <r>
    <n v="-2000"/>
    <s v="Santander"/>
    <s v="Account"/>
    <x v="2"/>
    <x v="0"/>
    <d v="2024-12-11T00:00:00"/>
    <x v="11"/>
  </r>
  <r>
    <n v="-50"/>
    <s v="Santander"/>
    <s v="Account"/>
    <x v="7"/>
    <x v="0"/>
    <d v="2024-12-14T00:00:00"/>
    <x v="11"/>
  </r>
  <r>
    <n v="-100"/>
    <s v="Santander"/>
    <s v="Account"/>
    <x v="10"/>
    <x v="0"/>
    <d v="2024-12-15T00:00:00"/>
    <x v="11"/>
  </r>
  <r>
    <n v="-100"/>
    <s v="Santander"/>
    <s v="Account"/>
    <x v="0"/>
    <x v="0"/>
    <d v="2024-12-18T00:00:00"/>
    <x v="11"/>
  </r>
  <r>
    <n v="500"/>
    <s v="Wallet"/>
    <s v="Money"/>
    <x v="14"/>
    <x v="1"/>
    <d v="2024-12-22T00:00:00"/>
    <x v="11"/>
  </r>
  <r>
    <n v="-100"/>
    <s v="Wallet"/>
    <s v="Money"/>
    <x v="7"/>
    <x v="0"/>
    <d v="2024-12-23T00:00:00"/>
    <x v="11"/>
  </r>
  <r>
    <n v="1500"/>
    <s v="Wallet"/>
    <s v="Money"/>
    <x v="14"/>
    <x v="1"/>
    <d v="2024-12-24T00:00:00"/>
    <x v="11"/>
  </r>
  <r>
    <n v="-500"/>
    <s v="Wallet"/>
    <s v="Money"/>
    <x v="5"/>
    <x v="0"/>
    <d v="2024-12-28T00:00:00"/>
    <x v="11"/>
  </r>
  <r>
    <n v="-300"/>
    <s v="Wallet"/>
    <s v="Money"/>
    <x v="0"/>
    <x v="0"/>
    <d v="2024-12-30T00:00:0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D8DDE-FD22-4CA1-A87C-2B79121B6E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4" firstHeaderRow="1" firstDataRow="2" firstDataCol="1"/>
  <pivotFields count="7">
    <pivotField dataField="1" numFmtId="164" showAll="0"/>
    <pivotField showAll="0"/>
    <pivotField showAll="0"/>
    <pivotField axis="axisRow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4"/>
    <field x="3"/>
  </rowFields>
  <rowItems count="20">
    <i>
      <x/>
    </i>
    <i r="1">
      <x/>
    </i>
    <i r="1">
      <x v="2"/>
    </i>
    <i r="1">
      <x v="3"/>
    </i>
    <i r="1">
      <x v="6"/>
    </i>
    <i r="1">
      <x v="7"/>
    </i>
    <i r="1">
      <x v="8"/>
    </i>
    <i r="1">
      <x v="9"/>
    </i>
    <i r="1">
      <x v="13"/>
    </i>
    <i r="1">
      <x v="15"/>
    </i>
    <i>
      <x v="1"/>
    </i>
    <i r="1">
      <x v="1"/>
    </i>
    <i r="1">
      <x v="4"/>
    </i>
    <i r="1">
      <x v="5"/>
    </i>
    <i r="1">
      <x v="10"/>
    </i>
    <i r="1">
      <x v="11"/>
    </i>
    <i r="1">
      <x v="12"/>
    </i>
    <i>
      <x v="2"/>
    </i>
    <i r="1">
      <x v="14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mount" fld="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FB2292-5AEA-432F-8128-9E05D027336D}" name="operations" displayName="operations" ref="A1:G208" totalsRowShown="0" headerRowDxfId="195">
  <autoFilter ref="A1:G208" xr:uid="{06FB2292-5AEA-432F-8128-9E05D027336D}"/>
  <sortState xmlns:xlrd2="http://schemas.microsoft.com/office/spreadsheetml/2017/richdata2" ref="A124:G132">
    <sortCondition ref="F1:F208"/>
  </sortState>
  <tableColumns count="7">
    <tableColumn id="1" xr3:uid="{4162AF2F-CC36-4CE8-A433-3C3565A96A78}" name="Amount"/>
    <tableColumn id="2" xr3:uid="{B319CFE2-A23B-4DF3-8070-1E04BEB2CB55}" name="Bank"/>
    <tableColumn id="3" xr3:uid="{42F21B05-1EA2-42E9-AD25-E18F92D7BBC2}" name="Product"/>
    <tableColumn id="4" xr3:uid="{A0B78DDA-1BEB-4036-9D32-35449A6B08C1}" name="Category"/>
    <tableColumn id="5" xr3:uid="{9EF6016E-E3B1-4E3E-991B-F5E00CFE901D}" name="Type"/>
    <tableColumn id="6" xr3:uid="{147FFA3B-4FD7-47DA-9D08-5FBF36B6DC4E}" name="Date" dataDxfId="194"/>
    <tableColumn id="7" xr3:uid="{675EA7AB-7E1A-4E20-BE13-A7C70DB7DAD2}" name="Month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8C5C35-88BE-4994-8A58-061B02E83D43}" name="Table9" displayName="Table9" ref="A1:O18" totalsRowCount="1" tableBorderDxfId="193">
  <autoFilter ref="A1:O17" xr:uid="{B08C5C35-88BE-4994-8A58-061B02E83D43}"/>
  <tableColumns count="15">
    <tableColumn id="1" xr3:uid="{50195868-BB64-4C63-A5EA-14B35BD74851}" name="Category" totalsRowLabel="Total" dataDxfId="192" totalsRowDxfId="191"/>
    <tableColumn id="2" xr3:uid="{7ABF94DB-E10A-45A7-A05D-1639D2E9AA1A}" name="Type" dataDxfId="190" totalsRowDxfId="189"/>
    <tableColumn id="3" xr3:uid="{F8A48C5B-44BF-455C-8092-71F9D99C24EF}" name="1" totalsRowFunction="sum" dataDxfId="188" totalsRowDxfId="187">
      <calculatedColumnFormula array="1">SUMIFS(operations[[Amount]:[Amount]], operations[[Category]:[Category]], Table9[[#This Row],[Category]:[Category]], operations[[Month]:[Month]], Table9[[#Headers],[1]])</calculatedColumnFormula>
    </tableColumn>
    <tableColumn id="4" xr3:uid="{32CEEF91-B388-4361-B4AE-CA0608AD4F99}" name="2" totalsRowFunction="sum" dataDxfId="186" totalsRowDxfId="185">
      <calculatedColumnFormula array="1">SUMIFS(operations[[Amount]:[Amount]], operations[[Category]:[Category]], Table9[[#This Row],[Category]:[Category]], operations[[Month]:[Month]], Table9[[#Headers],[2]])</calculatedColumnFormula>
    </tableColumn>
    <tableColumn id="5" xr3:uid="{8893E461-7165-42B5-ABCF-6703A8D37586}" name="3" totalsRowFunction="sum" dataDxfId="184" totalsRowDxfId="183">
      <calculatedColumnFormula array="1">SUMIFS(operations[[Amount]:[Amount]], operations[[Category]:[Category]], Table9[[#This Row],[Category]:[Category]], operations[[Month]:[Month]], Table9[[#Headers],[3]])</calculatedColumnFormula>
    </tableColumn>
    <tableColumn id="6" xr3:uid="{89075CB9-A772-4FD8-8252-DCAC4CA0D95D}" name="4" totalsRowFunction="sum" dataDxfId="182" totalsRowDxfId="181">
      <calculatedColumnFormula array="1">SUMIFS(operations[[Amount]:[Amount]], operations[[Category]:[Category]], Table9[[#This Row],[Category]:[Category]], operations[[Month]:[Month]], Table9[[#Headers],[4]])</calculatedColumnFormula>
    </tableColumn>
    <tableColumn id="7" xr3:uid="{70972F2A-7FF9-477C-98C4-973E9FE933C1}" name="5" totalsRowFunction="sum" dataDxfId="180" totalsRowDxfId="179">
      <calculatedColumnFormula array="1">SUMIFS(operations[[Amount]:[Amount]], operations[[Category]:[Category]], Table9[[#This Row],[Category]:[Category]], operations[[Month]:[Month]], Table9[[#Headers],[5]])</calculatedColumnFormula>
    </tableColumn>
    <tableColumn id="8" xr3:uid="{39176520-C389-4467-97E3-DA9433BD2F86}" name="6" totalsRowFunction="sum" dataDxfId="178" totalsRowDxfId="177">
      <calculatedColumnFormula array="1">SUMIFS(operations[[Amount]:[Amount]], operations[[Category]:[Category]], Table9[[#This Row],[Category]:[Category]], operations[[Month]:[Month]], Table9[[#Headers],[6]])</calculatedColumnFormula>
    </tableColumn>
    <tableColumn id="9" xr3:uid="{A3267A36-F698-489F-BDC1-FDE0DE261D36}" name="7" totalsRowFunction="sum" dataDxfId="176" totalsRowDxfId="175">
      <calculatedColumnFormula array="1">SUMIFS(operations[[Amount]:[Amount]], operations[[Category]:[Category]], Table9[[#This Row],[Category]:[Category]], operations[[Month]:[Month]], Table9[[#Headers],[7]])</calculatedColumnFormula>
    </tableColumn>
    <tableColumn id="10" xr3:uid="{EC5A3214-E68C-4D6C-B621-74DE50AAFCDA}" name="8" totalsRowFunction="sum" dataDxfId="174" totalsRowDxfId="173">
      <calculatedColumnFormula array="1">SUMIFS(operations[[Amount]:[Amount]], operations[[Category]:[Category]], Table9[[#This Row],[Category]:[Category]], operations[[Month]:[Month]], Table9[[#Headers],[8]])</calculatedColumnFormula>
    </tableColumn>
    <tableColumn id="11" xr3:uid="{2267CBB0-4BED-42D5-B3D1-8110352EEA73}" name="9" totalsRowFunction="sum" dataDxfId="172" totalsRowDxfId="171">
      <calculatedColumnFormula array="1">SUMIFS(operations[[Amount]:[Amount]], operations[[Category]:[Category]], Table9[[#This Row],[Category]:[Category]], operations[[Month]:[Month]], Table9[[#Headers],[9]])</calculatedColumnFormula>
    </tableColumn>
    <tableColumn id="12" xr3:uid="{01BCCC07-0118-47AF-9DBD-FDBA88BFF43C}" name="10" totalsRowFunction="sum" dataDxfId="170" totalsRowDxfId="169">
      <calculatedColumnFormula array="1">SUMIFS(operations[[Amount]:[Amount]], operations[[Category]:[Category]], Table9[[#This Row],[Category]:[Category]], operations[[Month]:[Month]], Table9[[#Headers],[10]])</calculatedColumnFormula>
    </tableColumn>
    <tableColumn id="13" xr3:uid="{8C7E297A-2D49-4E6E-89A2-C32E9B7A179F}" name="11" totalsRowFunction="sum" dataDxfId="168" totalsRowDxfId="167">
      <calculatedColumnFormula array="1">SUMIFS(operations[[Amount]:[Amount]], operations[[Category]:[Category]], Table9[[#This Row],[Category]:[Category]], operations[[Month]:[Month]], Table9[[#Headers],[11]])</calculatedColumnFormula>
    </tableColumn>
    <tableColumn id="14" xr3:uid="{C15BDE11-58D6-4F38-A02B-5A4F1DAFF98C}" name="12" totalsRowFunction="sum" dataDxfId="166" totalsRowDxfId="165">
      <calculatedColumnFormula array="1">SUMIFS(operations[[Amount]:[Amount]], operations[[Category]:[Category]], Table9[[#This Row],[Category]:[Category]], operations[[Month]:[Month]], Table9[[#Headers],[12]])</calculatedColumnFormula>
    </tableColumn>
    <tableColumn id="15" xr3:uid="{E4EC0AC8-285C-4D85-8D8D-C14D24158AB0}" name="Total" totalsRowFunction="sum" dataDxfId="164">
      <calculatedColumnFormula>SUM(Table9[[#This Row],[1]:[12]])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2E84034C-4B8B-4FC3-93BB-FD307DEA1F64}" name="Table57" displayName="Table57" ref="A1:O21" totalsRowShown="0">
  <autoFilter ref="A1:O21" xr:uid="{2E84034C-4B8B-4FC3-93BB-FD307DEA1F64}"/>
  <tableColumns count="15">
    <tableColumn id="1" xr3:uid="{781688BA-B345-4936-A030-820A7CE44032}" name="Category" dataDxfId="163"/>
    <tableColumn id="2" xr3:uid="{C72A2D1E-D111-4FF4-8A0A-5D726013DA52}" name="Type" dataDxfId="162"/>
    <tableColumn id="3" xr3:uid="{C40FFF49-170F-4726-91E6-B27043073E07}" name="1" dataDxfId="161"/>
    <tableColumn id="4" xr3:uid="{AC197EEA-2F19-4182-86F8-B57F13CEB13C}" name="2" dataDxfId="160"/>
    <tableColumn id="5" xr3:uid="{756C77C8-00C6-43EA-9279-3697B39E1BD5}" name="3" dataDxfId="159"/>
    <tableColumn id="6" xr3:uid="{681173CB-647D-43B6-920D-11D41A6A4ABF}" name="4" dataDxfId="158"/>
    <tableColumn id="7" xr3:uid="{3C6B5D4E-3CCB-43E9-8343-8AA3AEE778B9}" name="5" dataDxfId="157"/>
    <tableColumn id="8" xr3:uid="{9A82E433-125D-4AF0-B814-49F061E7A038}" name="6" dataDxfId="156"/>
    <tableColumn id="9" xr3:uid="{C5ED0F8E-F219-4685-A2F0-2D3E9504EA41}" name="7" dataDxfId="155"/>
    <tableColumn id="10" xr3:uid="{49EDF502-40B9-4FBB-9C30-6D3039898B00}" name="8" dataDxfId="154"/>
    <tableColumn id="11" xr3:uid="{D86A1826-799B-42B1-9A03-A33D62016F2C}" name="9" dataDxfId="153"/>
    <tableColumn id="12" xr3:uid="{09FD4D88-A28F-46FC-9925-67EA2CB28D85}" name="10" dataDxfId="152"/>
    <tableColumn id="13" xr3:uid="{F9809D33-919D-4F6B-A5FA-DCE316826A3A}" name="11" dataDxfId="151"/>
    <tableColumn id="14" xr3:uid="{F46DF3D6-ECEE-41C4-A03C-5392464BE7E2}" name="12" dataDxfId="150"/>
    <tableColumn id="15" xr3:uid="{F6571001-E2EE-49F6-99F9-9EA907DCACE1}" name="Total" dataDxfId="1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46233-4CB7-41B2-A903-0B776C034E39}" name="name" displayName="name" ref="A1:B17" totalsRowShown="0">
  <autoFilter ref="A1:B17" xr:uid="{CC346233-4CB7-41B2-A903-0B776C034E39}"/>
  <tableColumns count="2">
    <tableColumn id="1" xr3:uid="{43698C38-7DBA-45F9-8C9C-F627B7DC1B02}" name="Category" dataDxfId="148"/>
    <tableColumn id="2" xr3:uid="{8D835F55-E4CF-4163-8C5C-F93430B9BFAA}" name="Typ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C74F63-A4DF-4A94-8C9D-80C0CBD99039}" name="Products" displayName="Products" ref="D1:E8" totalsRowShown="0" headerRowDxfId="147" dataDxfId="146">
  <autoFilter ref="D1:E8" xr:uid="{0AC74F63-A4DF-4A94-8C9D-80C0CBD99039}"/>
  <sortState xmlns:xlrd2="http://schemas.microsoft.com/office/spreadsheetml/2017/richdata2" ref="D2:E8">
    <sortCondition ref="D2:D8"/>
  </sortState>
  <tableColumns count="2">
    <tableColumn id="1" xr3:uid="{CE0DD4A3-563A-449E-B741-DA1306191CC4}" name="Bank" dataDxfId="145"/>
    <tableColumn id="2" xr3:uid="{C8B335C9-C5D4-45AE-B370-CA14E8329EC7}" name="Product" dataDxfId="144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38EF6C-EBDA-4A20-A913-FFB56B6BFDE3}" name="Flow1" displayName="Flow1" ref="A1:E9" totalsRowCount="1">
  <autoFilter ref="A1:E8" xr:uid="{D08145FA-2B31-4447-A365-BD5CF6F8B50D}"/>
  <tableColumns count="5">
    <tableColumn id="1" xr3:uid="{1EA9A758-C67C-4510-84BB-0812CB482B57}" name="Bank" totalsRowLabel="Total"/>
    <tableColumn id="2" xr3:uid="{549368D9-B3F1-424B-B43C-29A96F88CA45}" name="Product"/>
    <tableColumn id="3" xr3:uid="{1BE67E26-0DC1-4714-BE9B-D0D467B8CBE5}" name="Opening balance" totalsRowFunction="custom" dataDxfId="143" totalsRowDxfId="142">
      <totalsRowFormula>SUBTOTAL(9,Flow1[Opening balance])</totalsRowFormula>
    </tableColumn>
    <tableColumn id="4" xr3:uid="{1BF66AA6-D374-4036-86CE-96C01ED2AA19}" name="Operations" totalsRowFunction="sum" dataDxfId="141" totalsRowDxfId="140">
      <calculatedColumnFormula>SUMIFS(operations[Amount],operations[Bank],Flow1[[#This Row],[Bank]],operations[Product],Flow1[[#This Row],[Product]],operations[Month],$B$11)</calculatedColumnFormula>
    </tableColumn>
    <tableColumn id="5" xr3:uid="{EDC59951-C328-4A3E-9138-3F195AE6EDB4}" name="Closing balance" totalsRowFunction="sum" dataDxfId="139" totalsRowDxfId="138">
      <calculatedColumnFormula>Flow1[[#This Row],[Opening balance]]+Flow1[[#This Row],[Operations]]</calculatedColumnFormula>
    </tableColumn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7994E2-32A2-45A6-A3CB-C6C3A659CA0D}" name="Incomes1" displayName="Incomes1" ref="G1:H8" totalsRowCount="1">
  <autoFilter ref="G1:H7" xr:uid="{659F4518-6159-4369-AA91-CF0A05C7468B}"/>
  <tableColumns count="2">
    <tableColumn id="1" xr3:uid="{846EB052-EA58-4BB0-83E9-B99C78843362}" name="Category" totalsRowLabel="Total"/>
    <tableColumn id="2" xr3:uid="{E5FDE1B7-4EE4-49E5-BB58-9E3799D55433}" name="Total" totalsRowFunction="custom" dataDxfId="137" totalsRowDxfId="136">
      <calculatedColumnFormula>SUMIFS(operations[Amount], operations[Category], Incomes1[[#This Row],[Category]], operations[Month], $B$11)</calculatedColumnFormula>
      <totalsRowFormula>SUBTOTAL(9,Incomes1[Total])</totalsRowFormula>
    </tableColumn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CA0B0A-D0ED-4BB2-BD06-423451A74183}" name="Expenses1" displayName="Expenses1" ref="J1:K11" totalsRowCount="1">
  <autoFilter ref="J1:K10" xr:uid="{0F882830-378E-4925-BD8B-BDADF3B60994}"/>
  <tableColumns count="2">
    <tableColumn id="1" xr3:uid="{DD7A1F8F-832C-4615-B52A-E4E3E17C1FE4}" name="Category" totalsRowLabel="Total"/>
    <tableColumn id="2" xr3:uid="{F0F76304-01C8-474D-BE78-031C4407FBA6}" name="Total" totalsRowFunction="custom" dataDxfId="135" totalsRowDxfId="134">
      <calculatedColumnFormula>SUMIFS(operations[Amount], operations[Category], Expenses1[[#This Row],[Category]], operations[Month], $B$11)</calculatedColumnFormula>
      <totalsRowFormula>SUBTOTAL(9,Expenses1[Total])</totalsRowFormula>
    </tableColumn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50923B-D78D-4576-8F24-63B19A4222B9}" name="Total1" displayName="Total1" ref="A13:B17" totalsRowCount="1">
  <autoFilter ref="A13:B16" xr:uid="{9100B6B5-494E-4F4E-A38A-343BCA6B4023}"/>
  <tableColumns count="2">
    <tableColumn id="1" xr3:uid="{43914533-C96D-4857-92E5-964D9C3BD621}" name="Type" totalsRowLabel="Total"/>
    <tableColumn id="2" xr3:uid="{A7D39D6C-A4D8-45EA-B0A4-02A5C390F394}" name="Total" totalsRowFunction="custom" dataDxfId="133" totalsRowDxfId="132">
      <calculatedColumnFormula>SUMIFS(operations[Amount], operations[Type], Total1[[#This Row],[Type]], operations[Month], $B$11)</calculatedColumnFormula>
      <totalsRowFormula>SUBTOTAL(9,Total1[Total])</totalsRowFormula>
    </tableColumn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A0EF611-C514-414B-A60D-F8F82AB56B4C}" name="Flow2" displayName="Flow2" ref="A1:E9" totalsRowCount="1">
  <autoFilter ref="A1:E8" xr:uid="{D08145FA-2B31-4447-A365-BD5CF6F8B50D}"/>
  <tableColumns count="5">
    <tableColumn id="1" xr3:uid="{32786B7D-F919-45D5-84C3-3869DE477709}" name="Bank" totalsRowLabel="Total"/>
    <tableColumn id="2" xr3:uid="{714883E3-1CCF-481A-A31F-7CCA35072918}" name="Product"/>
    <tableColumn id="3" xr3:uid="{8F3E3D8C-D7C2-47A7-94CC-ACA792B104C8}" name="Opening balance" totalsRowFunction="custom" dataDxfId="131" totalsRowDxfId="130">
      <calculatedColumnFormula array="1">INDIRECT("Flow" &amp; $B$11-1 &amp; "[@[Closing balance]]")</calculatedColumnFormula>
      <totalsRowFormula>SUBTOTAL(9,Flow2[Opening balance])</totalsRowFormula>
    </tableColumn>
    <tableColumn id="4" xr3:uid="{155F4FFB-FD26-4657-B4F5-D5F478698998}" name="Operations" totalsRowFunction="sum" dataDxfId="129" totalsRowDxfId="128">
      <calculatedColumnFormula>SUMIFS(operations[Amount],operations[Bank],Flow2[[#This Row],[Bank]],operations[Product],Flow2[[#This Row],[Product]],operations[Month],$B$11)</calculatedColumnFormula>
    </tableColumn>
    <tableColumn id="5" xr3:uid="{5CF6C1CB-FD1F-480A-AA58-86F4685DF4F5}" name="Closing balance" totalsRowFunction="sum" dataDxfId="127" totalsRowDxfId="126">
      <calculatedColumnFormula>Flow2[[#This Row],[Opening balance]]+Flow2[[#This Row],[Operations]]</calculatedColumnFormula>
    </tableColumn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1FE7F00-756D-4087-BD5C-9061781425F3}" name="Incomes2" displayName="Incomes2" ref="G1:H8" totalsRowCount="1">
  <autoFilter ref="G1:H7" xr:uid="{659F4518-6159-4369-AA91-CF0A05C7468B}"/>
  <tableColumns count="2">
    <tableColumn id="1" xr3:uid="{34F9E148-A970-4D7E-A146-925BF89464BF}" name="Category" totalsRowLabel="Total"/>
    <tableColumn id="2" xr3:uid="{C502F03B-1CD6-4053-8DEB-F0FA2A2C4AD0}" name="Total" totalsRowFunction="custom" dataDxfId="125" totalsRowDxfId="124">
      <calculatedColumnFormula>SUMIFS(operations[Amount], operations[Category], Incomes2[[#This Row],[Category]], operations[Month], $B$11)</calculatedColumnFormula>
      <totalsRowFormula>SUBTOTAL(9,Incomes2[Total])</totalsRowFormula>
    </tableColumn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2E85F9D-846F-42FB-97B0-5476EE55B310}" name="Expenses2" displayName="Expenses2" ref="J1:K11" totalsRowCount="1">
  <autoFilter ref="J1:K10" xr:uid="{0F882830-378E-4925-BD8B-BDADF3B60994}"/>
  <tableColumns count="2">
    <tableColumn id="1" xr3:uid="{168C627F-3D4D-4370-9AFA-1F5A9F24CF6C}" name="Category" totalsRowLabel="Total"/>
    <tableColumn id="2" xr3:uid="{7E9A7B85-AE47-4B3E-872A-58A38926357F}" name="Total" totalsRowFunction="custom" dataDxfId="123" totalsRowDxfId="122">
      <calculatedColumnFormula>SUMIFS(operations[Amount], operations[Category], Expenses2[[#This Row],[Category]], operations[Month], $B$11)</calculatedColumnFormula>
      <totalsRowFormula>SUBTOTAL(9,Expenses2[Total])</totalsRowFormula>
    </tableColumn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C5E7BB3-95C4-4C5F-BB43-2F2CCB4C3F70}" name="Total2" displayName="Total2" ref="A13:B17" totalsRowCount="1">
  <autoFilter ref="A13:B16" xr:uid="{9100B6B5-494E-4F4E-A38A-343BCA6B4023}"/>
  <tableColumns count="2">
    <tableColumn id="1" xr3:uid="{A4A3C714-1CCB-4A14-8794-03528E048D73}" name="Type" totalsRowLabel="Total"/>
    <tableColumn id="2" xr3:uid="{7E09AB56-4ED0-44EF-B2BD-456448C9DD19}" name="Total" totalsRowFunction="custom" dataDxfId="121" totalsRowDxfId="120">
      <calculatedColumnFormula>SUMIFS(operations[Amount], operations[Type], Total2[[#This Row],[Type]], operations[Month], $B$11)</calculatedColumnFormula>
      <totalsRowFormula>SUBTOTAL(9,Total2[Total])</totalsRowFormula>
    </tableColumn>
  </tableColumns>
  <tableStyleInfo name="TableStyleLight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1F07995-EC65-41F9-AD72-40A44EE87673}" name="Flow3" displayName="Flow3" ref="A1:E9" totalsRowCount="1">
  <autoFilter ref="A1:E8" xr:uid="{D08145FA-2B31-4447-A365-BD5CF6F8B50D}"/>
  <tableColumns count="5">
    <tableColumn id="1" xr3:uid="{654BCD5B-09EA-4BA4-9E7D-6471BD04521D}" name="Bank" totalsRowLabel="Total"/>
    <tableColumn id="2" xr3:uid="{93BF70F2-C60E-4D8B-8C65-3C8B39F3DB53}" name="Product"/>
    <tableColumn id="3" xr3:uid="{67C15AFC-896C-4A23-B5A1-C59215A6B1DA}" name="Opening balance" totalsRowFunction="custom" dataDxfId="119" totalsRowDxfId="118">
      <calculatedColumnFormula array="1">INDIRECT("Flow" &amp; $B$11-1 &amp; "[@[Closing balance]]")</calculatedColumnFormula>
      <totalsRowFormula>SUBTOTAL(9,Flow3[Opening balance])</totalsRowFormula>
    </tableColumn>
    <tableColumn id="4" xr3:uid="{68B45315-EBDC-4607-A8A9-822D9C97927A}" name="Operations" totalsRowFunction="sum" dataDxfId="117" totalsRowDxfId="116">
      <calculatedColumnFormula>SUMIFS(operations[Amount],operations[Bank],Flow3[[#This Row],[Bank]],operations[Product],Flow3[[#This Row],[Product]],operations[Month],$B$11)</calculatedColumnFormula>
    </tableColumn>
    <tableColumn id="5" xr3:uid="{4F5A4B5C-BD3B-453B-BB9B-C3CC1270E2B7}" name="Closing balance" totalsRowFunction="sum" dataDxfId="115" totalsRowDxfId="114">
      <calculatedColumnFormula>Flow3[[#This Row],[Opening balance]]+Flow3[[#This Row],[Operations]]</calculatedColumnFormula>
    </tableColumn>
  </tableColumns>
  <tableStyleInfo name="TableStyleLight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A4BF7C-058A-461B-9216-F2D30BA9A240}" name="Incomes3" displayName="Incomes3" ref="G1:H8" totalsRowCount="1">
  <autoFilter ref="G1:H7" xr:uid="{659F4518-6159-4369-AA91-CF0A05C7468B}"/>
  <tableColumns count="2">
    <tableColumn id="1" xr3:uid="{16A45448-DECF-4566-B5EF-E3DF3622DAD0}" name="Category" totalsRowLabel="Total"/>
    <tableColumn id="2" xr3:uid="{09F11A00-1838-49CD-854C-47B467F445A0}" name="Total" totalsRowFunction="custom" dataDxfId="113" totalsRowDxfId="112">
      <calculatedColumnFormula>SUMIFS(operations[Amount], operations[Category], Incomes3[[#This Row],[Category]], operations[Month], $B$11)</calculatedColumnFormula>
      <totalsRowFormula>SUBTOTAL(9,Incomes3[Total])</totalsRowFormula>
    </tableColumn>
  </tableColumns>
  <tableStyleInfo name="TableStyleLight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FDDFE08-5DBE-4565-BC3B-A5A51E2064FF}" name="Expenses3" displayName="Expenses3" ref="J1:K11" totalsRowCount="1">
  <autoFilter ref="J1:K10" xr:uid="{0F882830-378E-4925-BD8B-BDADF3B60994}"/>
  <tableColumns count="2">
    <tableColumn id="1" xr3:uid="{E86B7A71-8F9B-40DB-B43D-58FB08867CEB}" name="Category" totalsRowLabel="Total"/>
    <tableColumn id="2" xr3:uid="{73EA3EE3-DEA3-4274-B1A7-70795654687F}" name="Total" totalsRowFunction="custom" dataDxfId="111" totalsRowDxfId="110">
      <calculatedColumnFormula>SUMIFS(operations[Amount], operations[Category], Expenses3[[#This Row],[Category]], operations[Month], $B$11)</calculatedColumnFormula>
      <totalsRowFormula>SUBTOTAL(9,Expenses3[Total])</totalsRowFormula>
    </tableColumn>
  </tableColumns>
  <tableStyleInfo name="TableStyleLight1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05C781D-D3AE-428D-AD50-4B062294CAFD}" name="Total3" displayName="Total3" ref="A13:B17" totalsRowCount="1">
  <autoFilter ref="A13:B16" xr:uid="{9100B6B5-494E-4F4E-A38A-343BCA6B4023}"/>
  <tableColumns count="2">
    <tableColumn id="1" xr3:uid="{4B5DA16B-87E1-41E9-BC78-0E96F6FC3CA7}" name="Type" totalsRowLabel="Total"/>
    <tableColumn id="2" xr3:uid="{CA9FA418-82CF-4F4A-B031-9762F06D06D9}" name="Total" totalsRowFunction="custom" dataDxfId="109" totalsRowDxfId="108">
      <calculatedColumnFormula>SUMIFS(operations[Amount], operations[Type], Total3[[#This Row],[Type]], operations[Month], $B$11)</calculatedColumnFormula>
      <totalsRowFormula>SUBTOTAL(9,Total3[Total])</totalsRowFormula>
    </tableColumn>
  </tableColumns>
  <tableStyleInfo name="TableStyleLight1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492EA27-89CB-4A64-84FA-57D5FBD5D1E7}" name="Flow4" displayName="Flow4" ref="A1:E9" totalsRowCount="1">
  <autoFilter ref="A1:E8" xr:uid="{D08145FA-2B31-4447-A365-BD5CF6F8B50D}"/>
  <tableColumns count="5">
    <tableColumn id="1" xr3:uid="{0A2A4332-7F9A-4089-9C24-AC99A2AABE8B}" name="Bank" totalsRowLabel="Total"/>
    <tableColumn id="2" xr3:uid="{924A15E3-BEBA-4073-85A6-34CA7FE8F260}" name="Product"/>
    <tableColumn id="3" xr3:uid="{7CE552AB-F5A9-434B-B1D3-A7D97CB3D6EE}" name="Opening balance" totalsRowFunction="custom" dataDxfId="107" totalsRowDxfId="106">
      <calculatedColumnFormula array="1">INDIRECT("Flow" &amp; $B$11-1 &amp; "[@[Closing balance]]")</calculatedColumnFormula>
      <totalsRowFormula>SUBTOTAL(9,Flow4[Opening balance])</totalsRowFormula>
    </tableColumn>
    <tableColumn id="4" xr3:uid="{C917CC15-C56D-4EAC-9480-0DAB698C62E0}" name="Operations" totalsRowFunction="sum" dataDxfId="105" totalsRowDxfId="104">
      <calculatedColumnFormula>SUMIFS(operations[Amount],operations[Bank],Flow4[[#This Row],[Bank]],operations[Product],Flow4[[#This Row],[Product]],operations[Month],$B$11)</calculatedColumnFormula>
    </tableColumn>
    <tableColumn id="5" xr3:uid="{D965BCAD-3D68-4941-A691-2568C6D29156}" name="Closing balance" totalsRowFunction="sum" dataDxfId="103" totalsRowDxfId="102">
      <calculatedColumnFormula>Flow4[[#This Row],[Opening balance]]+Flow4[[#This Row],[Operations]]</calculatedColumnFormula>
    </tableColumn>
  </tableColumns>
  <tableStyleInfo name="TableStyleLight1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B947CDB-1644-4D26-A41F-B1904593E36C}" name="Incomes4" displayName="Incomes4" ref="G1:H8" totalsRowCount="1">
  <autoFilter ref="G1:H7" xr:uid="{659F4518-6159-4369-AA91-CF0A05C7468B}"/>
  <tableColumns count="2">
    <tableColumn id="1" xr3:uid="{410F4F7D-C29D-48A9-9D09-0EDE3F2C836B}" name="Category" totalsRowLabel="Total"/>
    <tableColumn id="2" xr3:uid="{9B7DE9DC-6436-45F6-9760-0D78646121EA}" name="Total" totalsRowFunction="custom" dataDxfId="101" totalsRowDxfId="100">
      <calculatedColumnFormula>SUMIFS(operations[Amount], operations[Category], Incomes4[[#This Row],[Category]], operations[Month], $B$11)</calculatedColumnFormula>
      <totalsRowFormula>SUBTOTAL(9,Incomes4[Total])</totalsRowFormula>
    </tableColumn>
  </tableColumns>
  <tableStyleInfo name="TableStyleLight1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2D4AEB7-BDAF-4C7F-90C2-8A453BAF8579}" name="Expenses4" displayName="Expenses4" ref="J1:K11" totalsRowCount="1">
  <autoFilter ref="J1:K10" xr:uid="{0F882830-378E-4925-BD8B-BDADF3B60994}"/>
  <tableColumns count="2">
    <tableColumn id="1" xr3:uid="{1A7C83FC-B333-4CEF-B8F4-B18FA693771D}" name="Category" totalsRowLabel="Total"/>
    <tableColumn id="2" xr3:uid="{97A69D8E-B788-4DA6-83E7-4DC2C4B6EEB5}" name="Total" totalsRowFunction="custom" dataDxfId="99" totalsRowDxfId="98">
      <calculatedColumnFormula>SUMIFS(operations[Amount], operations[Category], Expenses4[[#This Row],[Category]], operations[Month], $B$11)</calculatedColumnFormula>
      <totalsRowFormula>SUBTOTAL(9,Expenses4[Total])</totalsRowFormula>
    </tableColumn>
  </tableColumns>
  <tableStyleInfo name="TableStyleLight1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2563A93-1D6F-49EA-8B60-5FD21F2C6017}" name="Total4" displayName="Total4" ref="A13:B17" totalsRowCount="1">
  <autoFilter ref="A13:B16" xr:uid="{9100B6B5-494E-4F4E-A38A-343BCA6B4023}"/>
  <tableColumns count="2">
    <tableColumn id="1" xr3:uid="{ADB4974D-3A00-4FE5-A2C3-FE8A91AA44D4}" name="Type" totalsRowLabel="Total"/>
    <tableColumn id="2" xr3:uid="{EE0383DC-796E-4813-AD12-43B4A002A5CA}" name="Total" totalsRowFunction="custom" dataDxfId="97" totalsRowDxfId="96">
      <calculatedColumnFormula>SUMIFS(operations[Amount], operations[Type], Total4[[#This Row],[Type]], operations[Month], $B$11)</calculatedColumnFormula>
      <totalsRowFormula>SUBTOTAL(9,Total4[Total])</totalsRowFormula>
    </tableColumn>
  </tableColumns>
  <tableStyleInfo name="TableStyleLight1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12DF7BA-324C-4DB3-ABF2-8A4894778405}" name="Flow5" displayName="Flow5" ref="A1:E9" totalsRowCount="1">
  <autoFilter ref="A1:E8" xr:uid="{D08145FA-2B31-4447-A365-BD5CF6F8B50D}"/>
  <tableColumns count="5">
    <tableColumn id="1" xr3:uid="{F9F883ED-757F-4CD9-A422-AD028995212B}" name="Bank" totalsRowLabel="Total"/>
    <tableColumn id="2" xr3:uid="{3C50A197-94DE-4307-8CF1-2386879EDD33}" name="Product"/>
    <tableColumn id="3" xr3:uid="{F77A4DC5-B320-4540-AD02-60309B1E04AE}" name="Opening balance" totalsRowFunction="custom" dataDxfId="95" totalsRowDxfId="94">
      <calculatedColumnFormula array="1">INDIRECT("Flow" &amp; $B$11-1 &amp; "[@[Closing balance]]")</calculatedColumnFormula>
      <totalsRowFormula>SUBTOTAL(9,Flow5[Opening balance])</totalsRowFormula>
    </tableColumn>
    <tableColumn id="4" xr3:uid="{BA96E1EB-7F41-46FC-B7E0-EE8FBE4CD335}" name="Operations" totalsRowFunction="sum" dataDxfId="93" totalsRowDxfId="92">
      <calculatedColumnFormula>SUMIFS(operations[Amount],operations[Bank],Flow5[[#This Row],[Bank]],operations[Product],Flow5[[#This Row],[Product]],operations[Month],$B$11)</calculatedColumnFormula>
    </tableColumn>
    <tableColumn id="5" xr3:uid="{5D386BB3-5DA1-4364-B325-9400DA465E7B}" name="Closing balance" totalsRowFunction="sum" dataDxfId="91" totalsRowDxfId="90">
      <calculatedColumnFormula>Flow5[[#This Row],[Opening balance]]+Flow5[[#This Row],[Operations]]</calculatedColumnFormula>
    </tableColumn>
  </tableColumns>
  <tableStyleInfo name="TableStyleLight1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D735457-CBEC-42B6-9CC5-23DF69D90C6E}" name="Incomes5" displayName="Incomes5" ref="G1:H8" totalsRowCount="1">
  <autoFilter ref="G1:H7" xr:uid="{659F4518-6159-4369-AA91-CF0A05C7468B}"/>
  <tableColumns count="2">
    <tableColumn id="1" xr3:uid="{9EBD0E30-2827-4500-8D58-9C2201B50036}" name="Category" totalsRowLabel="Total"/>
    <tableColumn id="2" xr3:uid="{E349F822-944B-4FB9-A098-35012B44ACF9}" name="Total" totalsRowFunction="custom" dataDxfId="89" totalsRowDxfId="88">
      <calculatedColumnFormula>SUMIFS(operations[Amount], operations[Category], Incomes5[[#This Row],[Category]], operations[Month], $B$11)</calculatedColumnFormula>
      <totalsRowFormula>SUBTOTAL(9,Incomes5[Total])</totalsRowFormula>
    </tableColumn>
  </tableColumns>
  <tableStyleInfo name="TableStyleLight1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F1D4184-6D5C-465F-B55C-CF93CFF83F15}" name="Expenses5" displayName="Expenses5" ref="J1:K11" totalsRowCount="1">
  <autoFilter ref="J1:K10" xr:uid="{0F882830-378E-4925-BD8B-BDADF3B60994}"/>
  <tableColumns count="2">
    <tableColumn id="1" xr3:uid="{2CDAF609-C162-467F-8991-B7D787C9DB78}" name="Category" totalsRowLabel="Total"/>
    <tableColumn id="2" xr3:uid="{E4EA7C98-0BD7-427B-987C-79DE2E65D37E}" name="Total" totalsRowFunction="custom" dataDxfId="87" totalsRowDxfId="86">
      <calculatedColumnFormula>SUMIFS(operations[Amount], operations[Category], Expenses5[[#This Row],[Category]], operations[Month], $B$11)</calculatedColumnFormula>
      <totalsRowFormula>SUBTOTAL(9,Expenses5[Total])</totalsRowFormula>
    </tableColumn>
  </tableColumns>
  <tableStyleInfo name="TableStyleLight1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B5EB870-7035-47FD-9CA7-F81E160DD079}" name="Total5" displayName="Total5" ref="A13:B17" totalsRowCount="1">
  <autoFilter ref="A13:B16" xr:uid="{9100B6B5-494E-4F4E-A38A-343BCA6B4023}"/>
  <tableColumns count="2">
    <tableColumn id="1" xr3:uid="{BDF43473-96A0-40E7-BB14-828FF6EB029F}" name="Type" totalsRowLabel="Total"/>
    <tableColumn id="2" xr3:uid="{A8A5E2EE-D473-424D-A66C-CE0C845B4BC4}" name="Total" totalsRowFunction="custom" dataDxfId="85" totalsRowDxfId="84">
      <calculatedColumnFormula>SUMIFS(operations[Amount], operations[Type], Total5[[#This Row],[Type]], operations[Month], $B$11)</calculatedColumnFormula>
      <totalsRowFormula>SUBTOTAL(9,Total5[Total])</totalsRowFormula>
    </tableColumn>
  </tableColumns>
  <tableStyleInfo name="TableStyleLight1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092F689-1DFD-4FD8-B617-820C80333C40}" name="Flow6" displayName="Flow6" ref="A1:E9" totalsRowCount="1">
  <autoFilter ref="A1:E8" xr:uid="{D08145FA-2B31-4447-A365-BD5CF6F8B50D}"/>
  <tableColumns count="5">
    <tableColumn id="1" xr3:uid="{B524F5E4-83F9-40AB-82F0-16E01B1A8E64}" name="Bank" totalsRowLabel="Total"/>
    <tableColumn id="2" xr3:uid="{0C77B188-7ABD-4FCE-868C-8DE73A9B6541}" name="Product"/>
    <tableColumn id="3" xr3:uid="{90FAC7DD-1FC7-43F3-93C2-CFE4D8D6389F}" name="Opening balance" totalsRowFunction="custom" dataDxfId="83" totalsRowDxfId="82">
      <calculatedColumnFormula array="1">INDIRECT("Flow" &amp; $B$11-1 &amp; "[@[Closing balance]]")</calculatedColumnFormula>
      <totalsRowFormula>SUBTOTAL(9,Flow6[Opening balance])</totalsRowFormula>
    </tableColumn>
    <tableColumn id="4" xr3:uid="{BDF730D9-106D-4B06-8535-626E48A63089}" name="Operations" totalsRowFunction="sum" dataDxfId="81" totalsRowDxfId="80">
      <calculatedColumnFormula>SUMIFS(operations[Amount],operations[Bank],Flow6[[#This Row],[Bank]],operations[Product],Flow6[[#This Row],[Product]],operations[Month],$B$11)</calculatedColumnFormula>
    </tableColumn>
    <tableColumn id="5" xr3:uid="{AE3F9453-E585-431A-8CC7-64F66355BD30}" name="Closing balance" totalsRowFunction="sum" dataDxfId="79" totalsRowDxfId="78">
      <calculatedColumnFormula>Flow6[[#This Row],[Opening balance]]+Flow6[[#This Row],[Operations]]</calculatedColumnFormula>
    </tableColumn>
  </tableColumns>
  <tableStyleInfo name="TableStyleLight1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4FAE922-8D63-494B-9B26-99C2FC3D0210}" name="Incomes6" displayName="Incomes6" ref="G1:H8" totalsRowCount="1">
  <autoFilter ref="G1:H7" xr:uid="{659F4518-6159-4369-AA91-CF0A05C7468B}"/>
  <tableColumns count="2">
    <tableColumn id="1" xr3:uid="{B730861E-D72C-457D-B2C8-739330291D27}" name="Category" totalsRowLabel="Total"/>
    <tableColumn id="2" xr3:uid="{03BBFD6A-0CDF-4ECB-B39D-74FDD7D7FCF8}" name="Total" totalsRowFunction="custom" dataDxfId="77" totalsRowDxfId="76">
      <calculatedColumnFormula>SUMIFS(operations[Amount], operations[Category], Incomes6[[#This Row],[Category]], operations[Month], $B$11)</calculatedColumnFormula>
      <totalsRowFormula>SUBTOTAL(9,Incomes6[Total])</totalsRowFormula>
    </tableColumn>
  </tableColumns>
  <tableStyleInfo name="TableStyleLight1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D849972-A483-4B11-BCFB-81853A093E66}" name="Expenses6" displayName="Expenses6" ref="J1:K11" totalsRowCount="1">
  <autoFilter ref="J1:K10" xr:uid="{0F882830-378E-4925-BD8B-BDADF3B60994}"/>
  <tableColumns count="2">
    <tableColumn id="1" xr3:uid="{E211EDBC-73B7-4A14-BEC3-54E51D75FD4D}" name="Category" totalsRowLabel="Total"/>
    <tableColumn id="2" xr3:uid="{B1A9A6F6-59EF-4814-AEFD-7F20BB19CDBC}" name="Total" totalsRowFunction="custom" dataDxfId="75" totalsRowDxfId="74">
      <calculatedColumnFormula>SUMIFS(operations[Amount], operations[Category], Expenses6[[#This Row],[Category]], operations[Month], $B$11)</calculatedColumnFormula>
      <totalsRowFormula>SUBTOTAL(9,Expenses6[Total])</totalsRowFormula>
    </tableColumn>
  </tableColumns>
  <tableStyleInfo name="TableStyleLight10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06EB65E-CC1B-4F7F-94E0-6406D658036D}" name="Total6" displayName="Total6" ref="A13:B17" totalsRowCount="1">
  <autoFilter ref="A13:B16" xr:uid="{9100B6B5-494E-4F4E-A38A-343BCA6B4023}"/>
  <tableColumns count="2">
    <tableColumn id="1" xr3:uid="{6F30188C-112E-47D3-896F-5F710B15AD3A}" name="Type" totalsRowLabel="Total"/>
    <tableColumn id="2" xr3:uid="{4852D3C5-B90A-4815-9AFB-97694D3C97F6}" name="Total" totalsRowFunction="custom" dataDxfId="73" totalsRowDxfId="72">
      <calculatedColumnFormula>SUMIFS(operations[Amount], operations[Type], Total6[[#This Row],[Type]], operations[Month], $B$11)</calculatedColumnFormula>
      <totalsRowFormula>SUBTOTAL(9,Total6[Total])</totalsRowFormula>
    </tableColumn>
  </tableColumns>
  <tableStyleInfo name="TableStyleLight1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5E64224-1F1A-42BD-8999-372A24D65757}" name="Flow7" displayName="Flow7" ref="A1:E9" totalsRowCount="1">
  <autoFilter ref="A1:E8" xr:uid="{D08145FA-2B31-4447-A365-BD5CF6F8B50D}"/>
  <tableColumns count="5">
    <tableColumn id="1" xr3:uid="{008AA200-4098-46C6-92FC-04C9D0984FC3}" name="Bank" totalsRowLabel="Total"/>
    <tableColumn id="2" xr3:uid="{14403A98-D2F3-4002-9420-A83864894A3F}" name="Product"/>
    <tableColumn id="3" xr3:uid="{6CBAB8FB-1F50-46E4-9C26-7868D1DCDCBF}" name="Opening balance" totalsRowFunction="custom" dataDxfId="71" totalsRowDxfId="70">
      <calculatedColumnFormula array="1">INDIRECT("Flow" &amp; $B$11-1 &amp; "[@[Closing balance]]")</calculatedColumnFormula>
      <totalsRowFormula>SUBTOTAL(9,Flow7[Opening balance])</totalsRowFormula>
    </tableColumn>
    <tableColumn id="4" xr3:uid="{A86096C9-059E-4582-9740-03490243982F}" name="Operations" totalsRowFunction="sum" dataDxfId="69" totalsRowDxfId="68">
      <calculatedColumnFormula>SUMIFS(operations[Amount],operations[Bank],Flow7[[#This Row],[Bank]],operations[Product],Flow7[[#This Row],[Product]],operations[Month],$B$11)</calculatedColumnFormula>
    </tableColumn>
    <tableColumn id="5" xr3:uid="{4C55415C-E616-4819-9339-1C69BD208510}" name="Closing balance" totalsRowFunction="sum" dataDxfId="67" totalsRowDxfId="66">
      <calculatedColumnFormula>Flow7[[#This Row],[Opening balance]]+Flow7[[#This Row],[Operations]]</calculatedColumnFormula>
    </tableColumn>
  </tableColumns>
  <tableStyleInfo name="TableStyleLight10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3F4DEC7-D8DB-4146-B52E-662562055505}" name="Incomes7" displayName="Incomes7" ref="G1:H8" totalsRowCount="1">
  <autoFilter ref="G1:H7" xr:uid="{659F4518-6159-4369-AA91-CF0A05C7468B}"/>
  <tableColumns count="2">
    <tableColumn id="1" xr3:uid="{399821BF-0E54-4E83-8EB7-0DA2DC1151B8}" name="Category" totalsRowLabel="Total"/>
    <tableColumn id="2" xr3:uid="{C20E20D5-3315-4931-8287-F848CEB6ABEE}" name="Total" totalsRowFunction="custom" dataDxfId="65" totalsRowDxfId="64">
      <calculatedColumnFormula>SUMIFS(operations[Amount], operations[Category], Incomes7[[#This Row],[Category]], operations[Month], $B$11)</calculatedColumnFormula>
      <totalsRowFormula>SUBTOTAL(9,Incomes7[Total])</totalsRowFormula>
    </tableColumn>
  </tableColumns>
  <tableStyleInfo name="TableStyleLight10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A42BFD1-DBC6-405E-87F4-C03FE9956A4D}" name="Expenses7" displayName="Expenses7" ref="J1:K11" totalsRowCount="1">
  <autoFilter ref="J1:K10" xr:uid="{0F882830-378E-4925-BD8B-BDADF3B60994}"/>
  <tableColumns count="2">
    <tableColumn id="1" xr3:uid="{34D1CE14-C679-4C5A-8431-6D173375A2C1}" name="Category" totalsRowLabel="Total"/>
    <tableColumn id="2" xr3:uid="{5CC4D5FA-399A-4BA6-BB85-E10960856E9B}" name="Total" totalsRowFunction="custom" dataDxfId="63" totalsRowDxfId="62">
      <calculatedColumnFormula>SUMIFS(operations[Amount], operations[Category], Expenses7[[#This Row],[Category]], operations[Month], $B$11)</calculatedColumnFormula>
      <totalsRowFormula>SUBTOTAL(9,Expenses7[Total])</totalsRowFormula>
    </tableColumn>
  </tableColumns>
  <tableStyleInfo name="TableStyleLight10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201993E-C70E-4F73-978A-9CDBE5B024A3}" name="Total7" displayName="Total7" ref="A13:B17" totalsRowCount="1">
  <autoFilter ref="A13:B16" xr:uid="{9100B6B5-494E-4F4E-A38A-343BCA6B4023}"/>
  <tableColumns count="2">
    <tableColumn id="1" xr3:uid="{75DE651C-CE2E-4CD8-A43E-75D0EFF11831}" name="Type" totalsRowLabel="Total"/>
    <tableColumn id="2" xr3:uid="{DB110933-C4E4-4219-B605-38D84594192E}" name="Total" totalsRowFunction="custom" dataDxfId="61" totalsRowDxfId="60">
      <calculatedColumnFormula>SUMIFS(operations[Amount], operations[Type], Total7[[#This Row],[Type]], operations[Month], $B$11)</calculatedColumnFormula>
      <totalsRowFormula>SUBTOTAL(9,Total7[Total])</totalsRowFormula>
    </tableColumn>
  </tableColumns>
  <tableStyleInfo name="TableStyleLight1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8F51CE0-7B2A-46B4-9365-E025C9E76033}" name="Flow8" displayName="Flow8" ref="A1:E9" totalsRowCount="1">
  <autoFilter ref="A1:E8" xr:uid="{D08145FA-2B31-4447-A365-BD5CF6F8B50D}"/>
  <tableColumns count="5">
    <tableColumn id="1" xr3:uid="{92BF7AB4-D0FA-4C90-8035-F7C2214B3E16}" name="Bank" totalsRowLabel="Total"/>
    <tableColumn id="2" xr3:uid="{1E88CCA2-1E94-4C8F-A822-3D82BCD5D0B2}" name="Product"/>
    <tableColumn id="3" xr3:uid="{B67ACE88-1834-4914-8138-C250E4F2BFA2}" name="Opening balance" totalsRowFunction="custom" dataDxfId="59" totalsRowDxfId="58">
      <calculatedColumnFormula array="1">INDIRECT("Flow" &amp; $B$11-1 &amp; "[@[Closing balance]]")</calculatedColumnFormula>
      <totalsRowFormula>SUBTOTAL(9,Flow8[Opening balance])</totalsRowFormula>
    </tableColumn>
    <tableColumn id="4" xr3:uid="{C15186EA-35D0-4682-BC0C-2B76F8B3F4C4}" name="Operations" totalsRowFunction="sum" dataDxfId="57" totalsRowDxfId="56">
      <calculatedColumnFormula>SUMIFS(operations[Amount],operations[Bank],Flow8[[#This Row],[Bank]],operations[Product],Flow8[[#This Row],[Product]],operations[Month],$B$11)</calculatedColumnFormula>
    </tableColumn>
    <tableColumn id="5" xr3:uid="{DB63E524-BA11-439E-95C0-0C67C7EA8F43}" name="Closing balance" totalsRowFunction="sum" dataDxfId="55" totalsRowDxfId="54">
      <calculatedColumnFormula>Flow8[[#This Row],[Opening balance]]+Flow8[[#This Row],[Operations]]</calculatedColumnFormula>
    </tableColumn>
  </tableColumns>
  <tableStyleInfo name="TableStyleLight10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F2165D0-C7CD-418C-80BB-B2E1B3A79A89}" name="Incomes8" displayName="Incomes8" ref="G1:H8" totalsRowCount="1">
  <autoFilter ref="G1:H7" xr:uid="{659F4518-6159-4369-AA91-CF0A05C7468B}"/>
  <tableColumns count="2">
    <tableColumn id="1" xr3:uid="{01D9DC9D-4501-42F6-B002-212B86748157}" name="Category" totalsRowLabel="Total"/>
    <tableColumn id="2" xr3:uid="{D86AF341-ADEC-43BC-8B72-D8911ADB462B}" name="Total" totalsRowFunction="custom" dataDxfId="53" totalsRowDxfId="52">
      <calculatedColumnFormula>SUMIFS(operations[Amount], operations[Category], Incomes8[[#This Row],[Category]], operations[Month], $B$11)</calculatedColumnFormula>
      <totalsRowFormula>SUBTOTAL(9,Incomes8[Total])</totalsRowFormula>
    </tableColumn>
  </tableColumns>
  <tableStyleInfo name="TableStyleLight1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1CA3D78-C72C-4D36-A4A3-4303F9DBF67C}" name="Expenses8" displayName="Expenses8" ref="J1:K11" totalsRowCount="1">
  <autoFilter ref="J1:K10" xr:uid="{0F882830-378E-4925-BD8B-BDADF3B60994}"/>
  <tableColumns count="2">
    <tableColumn id="1" xr3:uid="{05C4854F-A71C-4250-BEE3-74EA20EA2B38}" name="Category" totalsRowLabel="Total"/>
    <tableColumn id="2" xr3:uid="{50EBF51A-A18D-4BCD-BC59-E66334090C6A}" name="Total" totalsRowFunction="custom" dataDxfId="51" totalsRowDxfId="50">
      <calculatedColumnFormula>SUMIFS(operations[Amount], operations[Category], Expenses8[[#This Row],[Category]], operations[Month], $B$11)</calculatedColumnFormula>
      <totalsRowFormula>SUBTOTAL(9,Expenses8[Total])</totalsRowFormula>
    </tableColumn>
  </tableColumns>
  <tableStyleInfo name="TableStyleLight1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5A17440-7110-44AF-B104-93C50BF656DD}" name="Total8" displayName="Total8" ref="A13:B17" totalsRowCount="1">
  <autoFilter ref="A13:B16" xr:uid="{9100B6B5-494E-4F4E-A38A-343BCA6B4023}"/>
  <tableColumns count="2">
    <tableColumn id="1" xr3:uid="{F5AFE125-5431-4E81-8970-882197796262}" name="Type" totalsRowLabel="Total"/>
    <tableColumn id="2" xr3:uid="{7AE1A73E-DF0A-4ECA-9239-F2E3A8C00D04}" name="Total" totalsRowFunction="custom" dataDxfId="49" totalsRowDxfId="48">
      <calculatedColumnFormula>SUMIFS(operations[Amount], operations[Type], Total8[[#This Row],[Type]], operations[Month], $B$11)</calculatedColumnFormula>
      <totalsRowFormula>SUBTOTAL(9,Total8[Total])</totalsRowFormula>
    </tableColumn>
  </tableColumns>
  <tableStyleInfo name="TableStyleLight1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9883E43-6E91-4E39-8DDF-24D2DB9D19BD}" name="Flow9" displayName="Flow9" ref="A1:E9" totalsRowCount="1">
  <autoFilter ref="A1:E8" xr:uid="{D08145FA-2B31-4447-A365-BD5CF6F8B50D}"/>
  <tableColumns count="5">
    <tableColumn id="1" xr3:uid="{CC75B004-C437-431F-BEFC-1B9FE6B7868F}" name="Bank" totalsRowLabel="Total"/>
    <tableColumn id="2" xr3:uid="{A11A5AE8-2CB3-4C1A-935F-86BB36C59E88}" name="Product"/>
    <tableColumn id="3" xr3:uid="{3705BD3B-1DFF-463E-94BE-C8C39ED7A697}" name="Opening balance" totalsRowFunction="custom" dataDxfId="47" totalsRowDxfId="46">
      <calculatedColumnFormula array="1">INDIRECT("Flow" &amp; $B$11-1 &amp; "[@[Closing balance]]")</calculatedColumnFormula>
      <totalsRowFormula>SUBTOTAL(9,Flow9[Opening balance])</totalsRowFormula>
    </tableColumn>
    <tableColumn id="4" xr3:uid="{3C1657F9-5996-470D-997B-DEE0B9DCFAAC}" name="Operations" totalsRowFunction="sum" dataDxfId="45" totalsRowDxfId="44">
      <calculatedColumnFormula>SUMIFS(operations[Amount],operations[Bank],Flow9[[#This Row],[Bank]],operations[Product],Flow9[[#This Row],[Product]],operations[Month],$B$11)</calculatedColumnFormula>
    </tableColumn>
    <tableColumn id="5" xr3:uid="{9E2CF6C9-96DA-400B-9624-6B5DBA2BB718}" name="Closing balance" totalsRowFunction="sum" dataDxfId="43" totalsRowDxfId="42">
      <calculatedColumnFormula>Flow9[[#This Row],[Opening balance]]+Flow9[[#This Row],[Operations]]</calculatedColumnFormula>
    </tableColumn>
  </tableColumns>
  <tableStyleInfo name="TableStyleLight10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7A2F777-6ED5-4211-81D8-29E57849A6C2}" name="Incomes9" displayName="Incomes9" ref="G1:H8" totalsRowCount="1">
  <autoFilter ref="G1:H7" xr:uid="{659F4518-6159-4369-AA91-CF0A05C7468B}"/>
  <tableColumns count="2">
    <tableColumn id="1" xr3:uid="{21B695A3-1D11-458D-8809-C4FC9F75A574}" name="Category" totalsRowLabel="Total"/>
    <tableColumn id="2" xr3:uid="{5185E4BB-750A-4B11-B753-71EF4F798302}" name="Total" totalsRowFunction="custom" dataDxfId="41" totalsRowDxfId="40">
      <calculatedColumnFormula>SUMIFS(operations[Amount], operations[Category], Incomes9[[#This Row],[Category]], operations[Month], $B$11)</calculatedColumnFormula>
      <totalsRowFormula>SUBTOTAL(9,Incomes9[Total])</totalsRowFormula>
    </tableColumn>
  </tableColumns>
  <tableStyleInfo name="TableStyleLight10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412A97F-524C-4319-985F-D1476AA6D3A8}" name="Expenses9" displayName="Expenses9" ref="J1:K11" totalsRowCount="1">
  <autoFilter ref="J1:K10" xr:uid="{0F882830-378E-4925-BD8B-BDADF3B60994}"/>
  <tableColumns count="2">
    <tableColumn id="1" xr3:uid="{DDA9A2DD-710E-4B2D-9898-834073916FAF}" name="Category" totalsRowLabel="Total"/>
    <tableColumn id="2" xr3:uid="{052F4050-1E10-44FC-811F-FD4DCEBC7990}" name="Total" totalsRowFunction="custom" dataDxfId="39" totalsRowDxfId="38">
      <calculatedColumnFormula>SUMIFS(operations[Amount], operations[Category], Expenses9[[#This Row],[Category]], operations[Month], $B$11)</calculatedColumnFormula>
      <totalsRowFormula>SUBTOTAL(9,Expenses9[Total])</totalsRowFormula>
    </tableColumn>
  </tableColumns>
  <tableStyleInfo name="TableStyleLight10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567EE9F-7CEC-48BB-B040-735644CE44EA}" name="Total9" displayName="Total9" ref="A13:B17" totalsRowCount="1">
  <autoFilter ref="A13:B16" xr:uid="{9100B6B5-494E-4F4E-A38A-343BCA6B4023}"/>
  <tableColumns count="2">
    <tableColumn id="1" xr3:uid="{B13FB4F8-7C80-4B28-A33A-5B4D0CB67FE1}" name="Type" totalsRowLabel="Total"/>
    <tableColumn id="2" xr3:uid="{48FED4E1-334F-44A7-B5EF-CCDABAEB8E23}" name="Total" totalsRowFunction="custom" dataDxfId="37" totalsRowDxfId="36">
      <calculatedColumnFormula>SUMIFS(operations[Amount], operations[Type], Total9[[#This Row],[Type]], operations[Month], $B$11)</calculatedColumnFormula>
      <totalsRowFormula>SUBTOTAL(9,Total9[Total])</totalsRowFormula>
    </tableColumn>
  </tableColumns>
  <tableStyleInfo name="TableStyleLight1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5E3CA0B-3527-40D2-B476-304857354A70}" name="Flow10" displayName="Flow10" ref="A1:E9" totalsRowCount="1">
  <autoFilter ref="A1:E8" xr:uid="{D08145FA-2B31-4447-A365-BD5CF6F8B50D}"/>
  <tableColumns count="5">
    <tableColumn id="1" xr3:uid="{1F2DA14A-36AC-4B03-9C29-2DD488E5EDF7}" name="Bank" totalsRowLabel="Total"/>
    <tableColumn id="2" xr3:uid="{364E6A46-8B74-4B5F-9D3B-2973743707B8}" name="Product"/>
    <tableColumn id="3" xr3:uid="{FC8B518C-B216-4B79-9560-177965469D3D}" name="Opening balance" totalsRowFunction="custom" dataDxfId="35" totalsRowDxfId="34">
      <calculatedColumnFormula array="1">INDIRECT("Flow" &amp; $B$11-1 &amp; "[@[Closing balance]]")</calculatedColumnFormula>
      <totalsRowFormula>SUBTOTAL(9,Flow10[Opening balance])</totalsRowFormula>
    </tableColumn>
    <tableColumn id="4" xr3:uid="{20DA0FA9-F081-48F7-8AAB-DEC8FCB8DB46}" name="Operations" totalsRowFunction="sum" dataDxfId="33" totalsRowDxfId="32">
      <calculatedColumnFormula>SUMIFS(operations[Amount],operations[Bank],Flow10[[#This Row],[Bank]],operations[Product],Flow10[[#This Row],[Product]],operations[Month],$B$11)</calculatedColumnFormula>
    </tableColumn>
    <tableColumn id="5" xr3:uid="{42A743D3-CD89-4776-B440-B277C826ABA8}" name="Closing balance" totalsRowFunction="sum" dataDxfId="31" totalsRowDxfId="30">
      <calculatedColumnFormula>Flow10[[#This Row],[Opening balance]]+Flow10[[#This Row],[Operations]]</calculatedColumnFormula>
    </tableColumn>
  </tableColumns>
  <tableStyleInfo name="TableStyleLight10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A1A6C93-896F-4C0B-B1CB-114398931DDC}" name="Incomes10" displayName="Incomes10" ref="G1:H8" totalsRowCount="1">
  <autoFilter ref="G1:H7" xr:uid="{659F4518-6159-4369-AA91-CF0A05C7468B}"/>
  <tableColumns count="2">
    <tableColumn id="1" xr3:uid="{80CE5690-BEB2-46B6-846E-44521F5868E6}" name="Category" totalsRowLabel="Total"/>
    <tableColumn id="2" xr3:uid="{A4383EB9-99C4-43F8-9882-76E7AB9F3990}" name="Total" totalsRowFunction="custom" dataDxfId="29" totalsRowDxfId="28">
      <calculatedColumnFormula>SUMIFS(operations[Amount], operations[Category], Incomes10[[#This Row],[Category]], operations[Month], $B$11)</calculatedColumnFormula>
      <totalsRowFormula>SUBTOTAL(9,Incomes10[Total])</totalsRowFormula>
    </tableColumn>
  </tableColumns>
  <tableStyleInfo name="TableStyleLight1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58EDD75-1D4F-48EB-8F75-A2411090D901}" name="Expenses10" displayName="Expenses10" ref="J1:K11" totalsRowCount="1">
  <autoFilter ref="J1:K10" xr:uid="{0F882830-378E-4925-BD8B-BDADF3B60994}"/>
  <tableColumns count="2">
    <tableColumn id="1" xr3:uid="{C23350B2-4304-4EDF-8A95-C4832659038C}" name="Category" totalsRowLabel="Total"/>
    <tableColumn id="2" xr3:uid="{CAA66257-0BAE-4219-AFAB-8E7437CAD62C}" name="Total" totalsRowFunction="custom" dataDxfId="27" totalsRowDxfId="26">
      <calculatedColumnFormula>SUMIFS(operations[Amount], operations[Category], Expenses10[[#This Row],[Category]], operations[Month], $B$11)</calculatedColumnFormula>
      <totalsRowFormula>SUBTOTAL(9,Expenses10[Total])</totalsRowFormula>
    </tableColumn>
  </tableColumns>
  <tableStyleInfo name="TableStyleLight10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B2E2646-D187-4702-8848-008F1E6B9833}" name="Total10" displayName="Total10" ref="A13:B17" totalsRowCount="1">
  <autoFilter ref="A13:B16" xr:uid="{9100B6B5-494E-4F4E-A38A-343BCA6B4023}"/>
  <tableColumns count="2">
    <tableColumn id="1" xr3:uid="{5D06268D-E673-43BA-87C6-EE849C9547E3}" name="Type" totalsRowLabel="Total"/>
    <tableColumn id="2" xr3:uid="{A2A1B960-EDA3-4B11-B02B-4FC645AAAA8C}" name="Total" totalsRowFunction="custom" dataDxfId="25" totalsRowDxfId="24">
      <calculatedColumnFormula>SUMIFS(operations[Amount], operations[Type], Total10[[#This Row],[Type]], operations[Month], $B$11)</calculatedColumnFormula>
      <totalsRowFormula>SUBTOTAL(9,Total10[Total])</totalsRowFormula>
    </tableColumn>
  </tableColumns>
  <tableStyleInfo name="TableStyleLight10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9034B6-AB1E-45ED-90D7-73CE978BC37B}" name="Flow11" displayName="Flow11" ref="A1:E9" totalsRowCount="1">
  <autoFilter ref="A1:E8" xr:uid="{D08145FA-2B31-4447-A365-BD5CF6F8B50D}"/>
  <tableColumns count="5">
    <tableColumn id="1" xr3:uid="{209C68A2-1D83-4BD8-99CD-364B6FCC95AB}" name="Bank" totalsRowLabel="Total"/>
    <tableColumn id="2" xr3:uid="{FAEBD852-22B3-4D70-9D30-864C9D65FAD1}" name="Product"/>
    <tableColumn id="3" xr3:uid="{613B9195-B283-4F31-8E6B-39457A4FBFC0}" name="Opening balance" totalsRowFunction="custom" dataDxfId="23" totalsRowDxfId="22">
      <calculatedColumnFormula array="1">INDIRECT("Flow" &amp; $B$11-1 &amp; "[@[Closing balance]]")</calculatedColumnFormula>
      <totalsRowFormula>SUBTOTAL(9,Flow11[Opening balance])</totalsRowFormula>
    </tableColumn>
    <tableColumn id="4" xr3:uid="{D01B2B02-3D95-4FFA-BE2B-282143C7C673}" name="Operations" totalsRowFunction="sum" dataDxfId="21" totalsRowDxfId="20">
      <calculatedColumnFormula>SUMIFS(operations[Amount],operations[Bank],Flow11[[#This Row],[Bank]],operations[Product],Flow11[[#This Row],[Product]],operations[Month],$B$11)</calculatedColumnFormula>
    </tableColumn>
    <tableColumn id="5" xr3:uid="{B9E679BA-A01C-485C-8346-B62CCA638A46}" name="Closing balance" totalsRowFunction="sum" dataDxfId="19" totalsRowDxfId="18">
      <calculatedColumnFormula>Flow11[[#This Row],[Opening balance]]+Flow11[[#This Row],[Operations]]</calculatedColumnFormula>
    </tableColumn>
  </tableColumns>
  <tableStyleInfo name="TableStyleLight10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FF9163B-CD1D-4886-9A5F-1AC908E0FE40}" name="Incomes11" displayName="Incomes11" ref="G1:H8" totalsRowCount="1">
  <autoFilter ref="G1:H7" xr:uid="{659F4518-6159-4369-AA91-CF0A05C7468B}"/>
  <tableColumns count="2">
    <tableColumn id="1" xr3:uid="{F3D45A2D-2CB2-4B99-A536-21F49D8D7519}" name="Category" totalsRowLabel="Total"/>
    <tableColumn id="2" xr3:uid="{D59768C2-3731-4239-8988-B6E6A45AFF0F}" name="Total" totalsRowFunction="custom" dataDxfId="17" totalsRowDxfId="16">
      <calculatedColumnFormula>SUMIFS(operations[Amount], operations[Category], Incomes11[[#This Row],[Category]], operations[Month], $B$11)</calculatedColumnFormula>
      <totalsRowFormula>SUBTOTAL(9,Incomes11[Total])</totalsRowFormula>
    </tableColumn>
  </tableColumns>
  <tableStyleInfo name="TableStyleLight10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27D1A0D-A328-470E-97F9-2D5EE4C77AA4}" name="Expenses11" displayName="Expenses11" ref="J1:K11" totalsRowCount="1">
  <autoFilter ref="J1:K10" xr:uid="{0F882830-378E-4925-BD8B-BDADF3B60994}"/>
  <tableColumns count="2">
    <tableColumn id="1" xr3:uid="{EBB30AE4-3CB2-4307-B346-2ECC18B5CD8A}" name="Category" totalsRowLabel="Total"/>
    <tableColumn id="2" xr3:uid="{6521149F-4F47-4C02-9CC6-41F10F6C523A}" name="Total" totalsRowFunction="custom" dataDxfId="15" totalsRowDxfId="14">
      <calculatedColumnFormula>SUMIFS(operations[Amount], operations[Category], Expenses11[[#This Row],[Category]], operations[Month], $B$11)</calculatedColumnFormula>
      <totalsRowFormula>SUBTOTAL(9,Expenses11[Total])</totalsRowFormula>
    </tableColumn>
  </tableColumns>
  <tableStyleInfo name="TableStyleLight1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2382512-8256-4E99-9A6F-95B346435C29}" name="Total11" displayName="Total11" ref="A13:B17" totalsRowCount="1">
  <autoFilter ref="A13:B16" xr:uid="{9100B6B5-494E-4F4E-A38A-343BCA6B4023}"/>
  <tableColumns count="2">
    <tableColumn id="1" xr3:uid="{A3AA1E1B-5030-4756-A08E-F8CF4F72272B}" name="Type" totalsRowLabel="Total"/>
    <tableColumn id="2" xr3:uid="{EB0B0187-106F-43AD-9ADA-29E02CDDE977}" name="Total" totalsRowFunction="custom" dataDxfId="13" totalsRowDxfId="12">
      <calculatedColumnFormula>SUMIFS(operations[Amount], operations[Type], Total11[[#This Row],[Type]], operations[Month], $B$11)</calculatedColumnFormula>
      <totalsRowFormula>SUBTOTAL(9,Total11[Total])</totalsRowFormula>
    </tableColumn>
  </tableColumns>
  <tableStyleInfo name="TableStyleLight1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5929877-E0B0-40B3-B39B-5C9EC9BF090F}" name="Flow12" displayName="Flow12" ref="A1:E9" totalsRowCount="1">
  <autoFilter ref="A1:E8" xr:uid="{D08145FA-2B31-4447-A365-BD5CF6F8B50D}"/>
  <tableColumns count="5">
    <tableColumn id="1" xr3:uid="{140A19EB-4440-4351-AAC3-5FB7C90B08F6}" name="Bank" totalsRowLabel="Total"/>
    <tableColumn id="2" xr3:uid="{B65CD190-68B6-4A9B-900F-01676B268648}" name="Product"/>
    <tableColumn id="3" xr3:uid="{37A41761-BDAC-49CC-84B6-FB4C4FE445D6}" name="Opening balance" totalsRowFunction="custom" dataDxfId="11" totalsRowDxfId="10">
      <calculatedColumnFormula array="1">INDIRECT("Flow" &amp; $B$11-1 &amp; "[@[Closing balance]]")</calculatedColumnFormula>
      <totalsRowFormula>SUBTOTAL(9,Flow12[Opening balance])</totalsRowFormula>
    </tableColumn>
    <tableColumn id="4" xr3:uid="{0358B10C-F0D2-4656-96A7-27457E550A3F}" name="Operations" totalsRowFunction="sum" dataDxfId="9" totalsRowDxfId="8">
      <calculatedColumnFormula>SUMIFS(operations[Amount],operations[Bank],Flow12[[#This Row],[Bank]],operations[Product],Flow12[[#This Row],[Product]],operations[Month],$B$11)</calculatedColumnFormula>
    </tableColumn>
    <tableColumn id="5" xr3:uid="{2F84D663-B14A-492F-9EDB-63BC03D15F7E}" name="Closing balance" totalsRowFunction="sum" dataDxfId="7" totalsRowDxfId="6">
      <calculatedColumnFormula>Flow12[[#This Row],[Opening balance]]+Flow12[[#This Row],[Operations]]</calculatedColumnFormula>
    </tableColumn>
  </tableColumns>
  <tableStyleInfo name="TableStyleLight1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7105E1CA-8F31-4432-9F3E-E3D0B9B00622}" name="Incomes12" displayName="Incomes12" ref="G1:H8" totalsRowCount="1">
  <autoFilter ref="G1:H7" xr:uid="{659F4518-6159-4369-AA91-CF0A05C7468B}"/>
  <tableColumns count="2">
    <tableColumn id="1" xr3:uid="{29549188-51C5-4E2F-BD5F-C5529499F074}" name="Category" totalsRowLabel="Total"/>
    <tableColumn id="2" xr3:uid="{7A2792B7-76DB-4FFA-B986-663DD8A3FEDA}" name="Total" totalsRowFunction="custom" dataDxfId="5" totalsRowDxfId="4">
      <calculatedColumnFormula>SUMIFS(operations[Amount], operations[Category], Incomes12[[#This Row],[Category]], operations[Month], $B$11)</calculatedColumnFormula>
      <totalsRowFormula>SUBTOTAL(9,Incomes12[Total])</totalsRowFormula>
    </tableColumn>
  </tableColumns>
  <tableStyleInfo name="TableStyleLight10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DFE2346-E568-47AB-BC1B-7EE538729D5A}" name="Expenses12" displayName="Expenses12" ref="J1:K11" totalsRowCount="1">
  <autoFilter ref="J1:K10" xr:uid="{0F882830-378E-4925-BD8B-BDADF3B60994}"/>
  <tableColumns count="2">
    <tableColumn id="1" xr3:uid="{0C7FA5EF-E7A3-4A05-9D6E-01667F23CF51}" name="Category" totalsRowLabel="Total"/>
    <tableColumn id="2" xr3:uid="{BC5D82A6-FE81-46AA-A73D-8F9CFDDC10EF}" name="Total" totalsRowFunction="custom" dataDxfId="3" totalsRowDxfId="2">
      <calculatedColumnFormula>SUMIFS(operations[Amount], operations[Category], Expenses12[[#This Row],[Category]], operations[Month], $B$11)</calculatedColumnFormula>
      <totalsRowFormula>SUBTOTAL(9,Expenses12[Total])</totalsRowFormula>
    </tableColumn>
  </tableColumns>
  <tableStyleInfo name="TableStyleLight10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C025EE2-7161-4A24-B671-0AAC8B8A2989}" name="Total12" displayName="Total12" ref="A13:B17" totalsRowCount="1">
  <autoFilter ref="A13:B16" xr:uid="{9100B6B5-494E-4F4E-A38A-343BCA6B4023}"/>
  <tableColumns count="2">
    <tableColumn id="1" xr3:uid="{DC6164C2-1BB1-41B5-BA67-23EB1C567815}" name="Type" totalsRowLabel="Total"/>
    <tableColumn id="2" xr3:uid="{3F6DDC44-8EFC-4855-B9F2-4D4FB218A8F4}" name="Total" totalsRowFunction="custom" dataDxfId="1" totalsRowDxfId="0">
      <calculatedColumnFormula>SUMIFS(operations[Amount], operations[Type], Total12[[#This Row],[Type]], operations[Month], $B$11)</calculatedColumnFormula>
      <totalsRowFormula>SUBTOTAL(9,Total12[Total])</totalsRow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10.bin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11.bin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45.xml"/><Relationship Id="rId4" Type="http://schemas.openxmlformats.org/officeDocument/2006/relationships/table" Target="../tables/table4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13.bin"/><Relationship Id="rId5" Type="http://schemas.openxmlformats.org/officeDocument/2006/relationships/table" Target="../tables/table49.xml"/><Relationship Id="rId4" Type="http://schemas.openxmlformats.org/officeDocument/2006/relationships/table" Target="../tables/table4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4.bin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9"/>
  <sheetViews>
    <sheetView topLeftCell="A110" workbookViewId="0">
      <selection activeCell="B126" sqref="B126"/>
    </sheetView>
  </sheetViews>
  <sheetFormatPr defaultRowHeight="14.4" x14ac:dyDescent="0.3"/>
  <cols>
    <col min="1" max="1" width="11.88671875" bestFit="1" customWidth="1"/>
    <col min="2" max="2" width="10.6640625" bestFit="1" customWidth="1"/>
    <col min="3" max="3" width="22.109375" customWidth="1"/>
    <col min="4" max="4" width="16" bestFit="1" customWidth="1"/>
    <col min="5" max="5" width="15.44140625" customWidth="1"/>
    <col min="6" max="6" width="11.33203125" bestFit="1" customWidth="1"/>
    <col min="7" max="7" width="13.109375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_xlfn.XLOOKUP(operations[[#This Row],[Category]],name[Category], name[Type],"", 0, 1)</f>
        <v>Expense</v>
      </c>
      <c r="F2" s="3">
        <v>45296</v>
      </c>
      <c r="G2" s="1">
        <f>MONTH(operations[[#This Row],[Date]])</f>
        <v>1</v>
      </c>
    </row>
    <row r="3" spans="1:7" x14ac:dyDescent="0.3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_xlfn.XLOOKUP(operations[[#This Row],[Category]],name[Category], name[Type],"", 0, 1)</f>
        <v>Income</v>
      </c>
      <c r="F3" s="3">
        <v>45301</v>
      </c>
      <c r="G3" s="1">
        <f>MONTH(operations[[#This Row],[Date]])</f>
        <v>1</v>
      </c>
    </row>
    <row r="4" spans="1:7" x14ac:dyDescent="0.3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_xlfn.XLOOKUP(operations[[#This Row],[Category]],name[Category], name[Type],"", 0, 1)</f>
        <v>Expense</v>
      </c>
      <c r="F4" s="3">
        <v>45302</v>
      </c>
      <c r="G4" s="1">
        <f>MONTH(operations[[#This Row],[Date]])</f>
        <v>1</v>
      </c>
    </row>
    <row r="5" spans="1:7" x14ac:dyDescent="0.3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_xlfn.XLOOKUP(operations[[#This Row],[Category]],name[Category], name[Type],"", 0, 1)</f>
        <v>Expense</v>
      </c>
      <c r="F5" s="3">
        <v>45305</v>
      </c>
      <c r="G5" s="1">
        <f>MONTH(operations[[#This Row],[Date]])</f>
        <v>1</v>
      </c>
    </row>
    <row r="6" spans="1:7" x14ac:dyDescent="0.3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_xlfn.XLOOKUP(operations[[#This Row],[Category]],name[Category], name[Type],"", 0, 1)</f>
        <v>Expense</v>
      </c>
      <c r="F6" s="3">
        <v>45306</v>
      </c>
      <c r="G6" s="1">
        <f>MONTH(operations[[#This Row],[Date]])</f>
        <v>1</v>
      </c>
    </row>
    <row r="7" spans="1:7" x14ac:dyDescent="0.3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_xlfn.XLOOKUP(operations[[#This Row],[Category]],name[Category], name[Type],"", 0, 1)</f>
        <v>Expense</v>
      </c>
      <c r="F7" s="3">
        <v>45307</v>
      </c>
      <c r="G7" s="1">
        <f>MONTH(operations[[#This Row],[Date]])</f>
        <v>1</v>
      </c>
    </row>
    <row r="8" spans="1:7" x14ac:dyDescent="0.3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_xlfn.XLOOKUP(operations[[#This Row],[Category]],name[Category], name[Type],"", 0, 1)</f>
        <v>Income</v>
      </c>
      <c r="F8" s="3">
        <v>45308</v>
      </c>
      <c r="G8" s="1">
        <f>MONTH(operations[[#This Row],[Date]])</f>
        <v>1</v>
      </c>
    </row>
    <row r="9" spans="1:7" x14ac:dyDescent="0.3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_xlfn.XLOOKUP(operations[[#This Row],[Category]],name[Category], name[Type],"", 0, 1)</f>
        <v>Expense</v>
      </c>
      <c r="F9" s="3">
        <v>45308</v>
      </c>
      <c r="G9" s="1">
        <f>MONTH(operations[[#This Row],[Date]])</f>
        <v>1</v>
      </c>
    </row>
    <row r="10" spans="1:7" x14ac:dyDescent="0.3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_xlfn.XLOOKUP(operations[[#This Row],[Category]],name[Category], name[Type],"", 0, 1)</f>
        <v>Income</v>
      </c>
      <c r="F10" s="3">
        <v>45308</v>
      </c>
      <c r="G10" s="1">
        <f>MONTH(operations[[#This Row],[Date]])</f>
        <v>1</v>
      </c>
    </row>
    <row r="11" spans="1:7" x14ac:dyDescent="0.3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_xlfn.XLOOKUP(operations[[#This Row],[Category]],name[Category], name[Type],"", 0, 1)</f>
        <v>Expense</v>
      </c>
      <c r="F11" s="3">
        <v>45310</v>
      </c>
      <c r="G11" s="1">
        <f>MONTH(operations[[#This Row],[Date]])</f>
        <v>1</v>
      </c>
    </row>
    <row r="12" spans="1:7" x14ac:dyDescent="0.3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_xlfn.XLOOKUP(operations[[#This Row],[Category]],name[Category], name[Type],"", 0, 1)</f>
        <v>Expense</v>
      </c>
      <c r="F12" s="3">
        <v>45311</v>
      </c>
      <c r="G12" s="1">
        <f>MONTH(operations[[#This Row],[Date]])</f>
        <v>1</v>
      </c>
    </row>
    <row r="13" spans="1:7" x14ac:dyDescent="0.3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_xlfn.XLOOKUP(operations[[#This Row],[Category]],name[Category], name[Type],"", 0, 1)</f>
        <v>Income</v>
      </c>
      <c r="F13" s="3">
        <v>45312</v>
      </c>
      <c r="G13" s="1">
        <f>MONTH(operations[[#This Row],[Date]])</f>
        <v>1</v>
      </c>
    </row>
    <row r="14" spans="1:7" x14ac:dyDescent="0.3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_xlfn.XLOOKUP(operations[[#This Row],[Category]],name[Category], name[Type],"", 0, 1)</f>
        <v>Expense</v>
      </c>
      <c r="F14" s="3">
        <v>45313</v>
      </c>
      <c r="G14" s="1">
        <f>MONTH(operations[[#This Row],[Date]])</f>
        <v>1</v>
      </c>
    </row>
    <row r="15" spans="1:7" x14ac:dyDescent="0.3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_xlfn.XLOOKUP(operations[[#This Row],[Category]],name[Category], name[Type],"", 0, 1)</f>
        <v>Expense</v>
      </c>
      <c r="F15" s="3">
        <v>45314</v>
      </c>
      <c r="G15" s="1">
        <f>MONTH(operations[[#This Row],[Date]])</f>
        <v>1</v>
      </c>
    </row>
    <row r="16" spans="1:7" x14ac:dyDescent="0.3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Row],[Category]],name[Category], name[Type],"", 0, 1)</f>
        <v>Expense</v>
      </c>
      <c r="F16" s="3">
        <v>45315</v>
      </c>
      <c r="G16" s="1">
        <f>MONTH(operations[[#This Row],[Date]])</f>
        <v>1</v>
      </c>
    </row>
    <row r="17" spans="1:7" x14ac:dyDescent="0.3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_xlfn.XLOOKUP(operations[[#This Row],[Category]],name[Category], name[Type],"", 0, 1)</f>
        <v>Expense</v>
      </c>
      <c r="F17" s="3">
        <v>45316</v>
      </c>
      <c r="G17" s="1">
        <f>MONTH(operations[[#This Row],[Date]])</f>
        <v>1</v>
      </c>
    </row>
    <row r="18" spans="1:7" x14ac:dyDescent="0.3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_xlfn.XLOOKUP(operations[[#This Row],[Category]],name[Category], name[Type],"", 0, 1)</f>
        <v>Income</v>
      </c>
      <c r="F18" s="3">
        <v>45316</v>
      </c>
      <c r="G18" s="1">
        <f>MONTH(operations[[#This Row],[Date]])</f>
        <v>1</v>
      </c>
    </row>
    <row r="19" spans="1:7" x14ac:dyDescent="0.3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_xlfn.XLOOKUP(operations[[#This Row],[Category]],name[Category], name[Type],"", 0, 1)</f>
        <v>Income</v>
      </c>
      <c r="F19" s="3">
        <v>45317</v>
      </c>
      <c r="G19" s="1">
        <f>MONTH(operations[[#This Row],[Date]])</f>
        <v>1</v>
      </c>
    </row>
    <row r="20" spans="1:7" x14ac:dyDescent="0.3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_xlfn.XLOOKUP(operations[[#This Row],[Category]],name[Category], name[Type],"", 0, 1)</f>
        <v>Income</v>
      </c>
      <c r="F20" s="3">
        <v>45318</v>
      </c>
      <c r="G20" s="1">
        <f>MONTH(operations[[#This Row],[Date]])</f>
        <v>1</v>
      </c>
    </row>
    <row r="21" spans="1:7" x14ac:dyDescent="0.3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_xlfn.XLOOKUP(operations[[#This Row],[Category]],name[Category], name[Type],"", 0, 1)</f>
        <v>Expense</v>
      </c>
      <c r="F21" s="3">
        <v>45319</v>
      </c>
      <c r="G21" s="1">
        <f>MONTH(operations[[#This Row],[Date]])</f>
        <v>1</v>
      </c>
    </row>
    <row r="22" spans="1:7" x14ac:dyDescent="0.3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_xlfn.XLOOKUP(operations[[#This Row],[Category]],name[Category], name[Type],"", 0, 1)</f>
        <v>Income</v>
      </c>
      <c r="F22" s="3">
        <v>45324</v>
      </c>
      <c r="G22" s="1">
        <f>MONTH(operations[[#This Row],[Date]])</f>
        <v>2</v>
      </c>
    </row>
    <row r="23" spans="1:7" x14ac:dyDescent="0.3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_xlfn.XLOOKUP(operations[[#This Row],[Category]],name[Category], name[Type],"", 0, 1)</f>
        <v>Expense</v>
      </c>
      <c r="F23" s="3">
        <v>45326</v>
      </c>
      <c r="G23" s="1">
        <f>MONTH(operations[[#This Row],[Date]])</f>
        <v>2</v>
      </c>
    </row>
    <row r="24" spans="1:7" x14ac:dyDescent="0.3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_xlfn.XLOOKUP(operations[[#This Row],[Category]],name[Category], name[Type],"", 0, 1)</f>
        <v>Expense</v>
      </c>
      <c r="F24" s="3">
        <v>45328</v>
      </c>
      <c r="G24" s="1">
        <f>MONTH(operations[[#This Row],[Date]])</f>
        <v>2</v>
      </c>
    </row>
    <row r="25" spans="1:7" x14ac:dyDescent="0.3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_xlfn.XLOOKUP(operations[[#This Row],[Category]],name[Category], name[Type],"", 0, 1)</f>
        <v>Income</v>
      </c>
      <c r="F25" s="3">
        <v>45332</v>
      </c>
      <c r="G25" s="1">
        <f>MONTH(operations[[#This Row],[Date]])</f>
        <v>2</v>
      </c>
    </row>
    <row r="26" spans="1:7" x14ac:dyDescent="0.3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_xlfn.XLOOKUP(operations[[#This Row],[Category]],name[Category], name[Type],"", 0, 1)</f>
        <v>Expense</v>
      </c>
      <c r="F26" s="3">
        <v>45333</v>
      </c>
      <c r="G26" s="1">
        <f>MONTH(operations[[#This Row],[Date]])</f>
        <v>2</v>
      </c>
    </row>
    <row r="27" spans="1:7" x14ac:dyDescent="0.3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Row],[Category]],name[Category], name[Type],"", 0, 1)</f>
        <v>Expense</v>
      </c>
      <c r="F27" s="3">
        <v>45335</v>
      </c>
      <c r="G27" s="1">
        <f>MONTH(operations[[#This Row],[Date]])</f>
        <v>2</v>
      </c>
    </row>
    <row r="28" spans="1:7" x14ac:dyDescent="0.3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_xlfn.XLOOKUP(operations[[#This Row],[Category]],name[Category], name[Type],"", 0, 1)</f>
        <v>Income</v>
      </c>
      <c r="F28" s="3">
        <v>45336</v>
      </c>
      <c r="G28" s="1">
        <f>MONTH(operations[[#This Row],[Date]])</f>
        <v>2</v>
      </c>
    </row>
    <row r="29" spans="1:7" x14ac:dyDescent="0.3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_xlfn.XLOOKUP(operations[[#This Row],[Category]],name[Category], name[Type],"", 0, 1)</f>
        <v>Expense</v>
      </c>
      <c r="F29" s="3">
        <v>45336</v>
      </c>
      <c r="G29" s="1">
        <f>MONTH(operations[[#This Row],[Date]])</f>
        <v>2</v>
      </c>
    </row>
    <row r="30" spans="1:7" x14ac:dyDescent="0.3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_xlfn.XLOOKUP(operations[[#This Row],[Category]],name[Category], name[Type],"", 0, 1)</f>
        <v>Expense</v>
      </c>
      <c r="F30" s="3">
        <v>45336</v>
      </c>
      <c r="G30" s="1">
        <f>MONTH(operations[[#This Row],[Date]])</f>
        <v>2</v>
      </c>
    </row>
    <row r="31" spans="1:7" x14ac:dyDescent="0.3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_xlfn.XLOOKUP(operations[[#This Row],[Category]],name[Category], name[Type],"", 0, 1)</f>
        <v>Expense</v>
      </c>
      <c r="F31" s="3">
        <v>45336</v>
      </c>
      <c r="G31" s="1">
        <f>MONTH(operations[[#This Row],[Date]])</f>
        <v>2</v>
      </c>
    </row>
    <row r="32" spans="1:7" x14ac:dyDescent="0.3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_xlfn.XLOOKUP(operations[[#This Row],[Category]],name[Category], name[Type],"", 0, 1)</f>
        <v>Transfer</v>
      </c>
      <c r="F32" s="3">
        <v>45337</v>
      </c>
      <c r="G32" s="1">
        <f>MONTH(operations[[#This Row],[Date]])</f>
        <v>2</v>
      </c>
    </row>
    <row r="33" spans="1:7" x14ac:dyDescent="0.3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_xlfn.XLOOKUP(operations[[#This Row],[Category]],name[Category], name[Type],"", 0, 1)</f>
        <v>Transfer</v>
      </c>
      <c r="F33" s="3">
        <v>45337</v>
      </c>
      <c r="G33" s="1">
        <f>MONTH(operations[[#This Row],[Date]])</f>
        <v>2</v>
      </c>
    </row>
    <row r="34" spans="1:7" x14ac:dyDescent="0.3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Row],[Category]],name[Category], name[Type],"", 0, 1)</f>
        <v>Expense</v>
      </c>
      <c r="F34" s="3">
        <v>45339</v>
      </c>
      <c r="G34" s="1">
        <f>MONTH(operations[[#This Row],[Date]])</f>
        <v>2</v>
      </c>
    </row>
    <row r="35" spans="1:7" x14ac:dyDescent="0.3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_xlfn.XLOOKUP(operations[[#This Row],[Category]],name[Category], name[Type],"", 0, 1)</f>
        <v>Expense</v>
      </c>
      <c r="F35" s="3">
        <v>45342</v>
      </c>
      <c r="G35" s="1">
        <f>MONTH(operations[[#This Row],[Date]])</f>
        <v>2</v>
      </c>
    </row>
    <row r="36" spans="1:7" x14ac:dyDescent="0.3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_xlfn.XLOOKUP(operations[[#This Row],[Category]],name[Category], name[Type],"", 0, 1)</f>
        <v>Income</v>
      </c>
      <c r="F36" s="3">
        <v>45344</v>
      </c>
      <c r="G36" s="1">
        <f>MONTH(operations[[#This Row],[Date]])</f>
        <v>2</v>
      </c>
    </row>
    <row r="37" spans="1:7" x14ac:dyDescent="0.3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_xlfn.XLOOKUP(operations[[#This Row],[Category]],name[Category], name[Type],"", 0, 1)</f>
        <v>Income</v>
      </c>
      <c r="F37" s="3">
        <v>45345</v>
      </c>
      <c r="G37" s="1">
        <f>MONTH(operations[[#This Row],[Date]])</f>
        <v>2</v>
      </c>
    </row>
    <row r="38" spans="1:7" x14ac:dyDescent="0.3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_xlfn.XLOOKUP(operations[[#This Row],[Category]],name[Category], name[Type],"", 0, 1)</f>
        <v>Expense</v>
      </c>
      <c r="F38" s="3">
        <v>45346</v>
      </c>
      <c r="G38" s="1">
        <f>MONTH(operations[[#This Row],[Date]])</f>
        <v>2</v>
      </c>
    </row>
    <row r="39" spans="1:7" x14ac:dyDescent="0.3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_xlfn.XLOOKUP(operations[[#This Row],[Category]],name[Category], name[Type],"", 0, 1)</f>
        <v>Income</v>
      </c>
      <c r="F39" s="3">
        <v>45347</v>
      </c>
      <c r="G39" s="1">
        <f>MONTH(operations[[#This Row],[Date]])</f>
        <v>2</v>
      </c>
    </row>
    <row r="40" spans="1:7" x14ac:dyDescent="0.3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_xlfn.XLOOKUP(operations[[#This Row],[Category]],name[Category], name[Type],"", 0, 1)</f>
        <v>Expense</v>
      </c>
      <c r="F40" s="3">
        <v>45347</v>
      </c>
      <c r="G40" s="1">
        <f>MONTH(operations[[#This Row],[Date]])</f>
        <v>2</v>
      </c>
    </row>
    <row r="41" spans="1:7" x14ac:dyDescent="0.3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_xlfn.XLOOKUP(operations[[#This Row],[Category]],name[Category], name[Type],"", 0, 1)</f>
        <v>Expense</v>
      </c>
      <c r="F41" s="3">
        <v>45348</v>
      </c>
      <c r="G41" s="1">
        <f>MONTH(operations[[#This Row],[Date]])</f>
        <v>2</v>
      </c>
    </row>
    <row r="42" spans="1:7" x14ac:dyDescent="0.3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_xlfn.XLOOKUP(operations[[#This Row],[Category]],name[Category], name[Type],"", 0, 1)</f>
        <v>Expense</v>
      </c>
      <c r="F42" s="3">
        <v>45348</v>
      </c>
      <c r="G42" s="1">
        <f>MONTH(operations[[#This Row],[Date]])</f>
        <v>2</v>
      </c>
    </row>
    <row r="43" spans="1:7" x14ac:dyDescent="0.3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_xlfn.XLOOKUP(operations[[#This Row],[Category]],name[Category], name[Type],"", 0, 1)</f>
        <v>Income</v>
      </c>
      <c r="F43" s="3">
        <v>45349</v>
      </c>
      <c r="G43" s="1">
        <f>MONTH(operations[[#This Row],[Date]])</f>
        <v>2</v>
      </c>
    </row>
    <row r="44" spans="1:7" x14ac:dyDescent="0.3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_xlfn.XLOOKUP(operations[[#This Row],[Category]],name[Category], name[Type],"", 0, 1)</f>
        <v>Expense</v>
      </c>
      <c r="F44" s="3">
        <v>45350</v>
      </c>
      <c r="G44" s="1">
        <f>MONTH(operations[[#This Row],[Date]])</f>
        <v>2</v>
      </c>
    </row>
    <row r="45" spans="1:7" x14ac:dyDescent="0.3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_xlfn.XLOOKUP(operations[[#This Row],[Category]],name[Category], name[Type],"", 0, 1)</f>
        <v>Income</v>
      </c>
      <c r="F45" s="3">
        <v>45350</v>
      </c>
      <c r="G45" s="1">
        <f>MONTH(operations[[#This Row],[Date]])</f>
        <v>2</v>
      </c>
    </row>
    <row r="46" spans="1:7" x14ac:dyDescent="0.3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_xlfn.XLOOKUP(operations[[#This Row],[Category]],name[Category], name[Type],"", 0, 1)</f>
        <v>Expense</v>
      </c>
      <c r="F46" s="3">
        <v>45352</v>
      </c>
      <c r="G46" s="1">
        <f>MONTH(operations[[#This Row],[Date]])</f>
        <v>3</v>
      </c>
    </row>
    <row r="47" spans="1:7" x14ac:dyDescent="0.3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_xlfn.XLOOKUP(operations[[#This Row],[Category]],name[Category], name[Type],"", 0, 1)</f>
        <v>Expense</v>
      </c>
      <c r="F47" s="3">
        <v>45353</v>
      </c>
      <c r="G47" s="1">
        <f>MONTH(operations[[#This Row],[Date]])</f>
        <v>3</v>
      </c>
    </row>
    <row r="48" spans="1:7" x14ac:dyDescent="0.3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_xlfn.XLOOKUP(operations[[#This Row],[Category]],name[Category], name[Type],"", 0, 1)</f>
        <v>Expense</v>
      </c>
      <c r="F48" s="3">
        <v>45353</v>
      </c>
      <c r="G48" s="1">
        <f>MONTH(operations[[#This Row],[Date]])</f>
        <v>3</v>
      </c>
    </row>
    <row r="49" spans="1:7" x14ac:dyDescent="0.3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Row],[Category]],name[Category], name[Type],"", 0, 1)</f>
        <v>Expense</v>
      </c>
      <c r="F49" s="3">
        <v>45355</v>
      </c>
      <c r="G49" s="1">
        <f>MONTH(operations[[#This Row],[Date]])</f>
        <v>3</v>
      </c>
    </row>
    <row r="50" spans="1:7" x14ac:dyDescent="0.3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_xlfn.XLOOKUP(operations[[#This Row],[Category]],name[Category], name[Type],"", 0, 1)</f>
        <v>Income</v>
      </c>
      <c r="F50" s="3">
        <v>45357</v>
      </c>
      <c r="G50" s="1">
        <f>MONTH(operations[[#This Row],[Date]])</f>
        <v>3</v>
      </c>
    </row>
    <row r="51" spans="1:7" x14ac:dyDescent="0.3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_xlfn.XLOOKUP(operations[[#This Row],[Category]],name[Category], name[Type],"", 0, 1)</f>
        <v>Expense</v>
      </c>
      <c r="F51" s="3">
        <v>45359</v>
      </c>
      <c r="G51" s="1">
        <f>MONTH(operations[[#This Row],[Date]])</f>
        <v>3</v>
      </c>
    </row>
    <row r="52" spans="1:7" x14ac:dyDescent="0.3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_xlfn.XLOOKUP(operations[[#This Row],[Category]],name[Category], name[Type],"", 0, 1)</f>
        <v>Income</v>
      </c>
      <c r="F52" s="3">
        <v>45361</v>
      </c>
      <c r="G52" s="1">
        <f>MONTH(operations[[#This Row],[Date]])</f>
        <v>3</v>
      </c>
    </row>
    <row r="53" spans="1:7" x14ac:dyDescent="0.3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_xlfn.XLOOKUP(operations[[#This Row],[Category]],name[Category], name[Type],"", 0, 1)</f>
        <v>Expense</v>
      </c>
      <c r="F53" s="3">
        <v>45362</v>
      </c>
      <c r="G53" s="1">
        <f>MONTH(operations[[#This Row],[Date]])</f>
        <v>3</v>
      </c>
    </row>
    <row r="54" spans="1:7" x14ac:dyDescent="0.3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_xlfn.XLOOKUP(operations[[#This Row],[Category]],name[Category], name[Type],"", 0, 1)</f>
        <v>Expense</v>
      </c>
      <c r="F54" s="3">
        <v>45363</v>
      </c>
      <c r="G54" s="1">
        <f>MONTH(operations[[#This Row],[Date]])</f>
        <v>3</v>
      </c>
    </row>
    <row r="55" spans="1:7" x14ac:dyDescent="0.3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Row],[Category]],name[Category], name[Type],"", 0, 1)</f>
        <v>Expense</v>
      </c>
      <c r="F55" s="3">
        <v>45364</v>
      </c>
      <c r="G55" s="1">
        <f>MONTH(operations[[#This Row],[Date]])</f>
        <v>3</v>
      </c>
    </row>
    <row r="56" spans="1:7" x14ac:dyDescent="0.3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_xlfn.XLOOKUP(operations[[#This Row],[Category]],name[Category], name[Type],"", 0, 1)</f>
        <v>Expense</v>
      </c>
      <c r="F56" s="3">
        <v>45368</v>
      </c>
      <c r="G56" s="1">
        <f>MONTH(operations[[#This Row],[Date]])</f>
        <v>3</v>
      </c>
    </row>
    <row r="57" spans="1:7" x14ac:dyDescent="0.3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_xlfn.XLOOKUP(operations[[#This Row],[Category]],name[Category], name[Type],"", 0, 1)</f>
        <v>Expense</v>
      </c>
      <c r="F57" s="3">
        <v>45371</v>
      </c>
      <c r="G57" s="1">
        <f>MONTH(operations[[#This Row],[Date]])</f>
        <v>3</v>
      </c>
    </row>
    <row r="58" spans="1:7" x14ac:dyDescent="0.3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_xlfn.XLOOKUP(operations[[#This Row],[Category]],name[Category], name[Type],"", 0, 1)</f>
        <v>Expense</v>
      </c>
      <c r="F58" s="3">
        <v>45373</v>
      </c>
      <c r="G58" s="1">
        <f>MONTH(operations[[#This Row],[Date]])</f>
        <v>3</v>
      </c>
    </row>
    <row r="59" spans="1:7" x14ac:dyDescent="0.3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_xlfn.XLOOKUP(operations[[#This Row],[Category]],name[Category], name[Type],"", 0, 1)</f>
        <v>Expense</v>
      </c>
      <c r="F59" s="3">
        <v>45375</v>
      </c>
      <c r="G59" s="1">
        <f>MONTH(operations[[#This Row],[Date]])</f>
        <v>3</v>
      </c>
    </row>
    <row r="60" spans="1:7" x14ac:dyDescent="0.3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_xlfn.XLOOKUP(operations[[#This Row],[Category]],name[Category], name[Type],"", 0, 1)</f>
        <v>Income</v>
      </c>
      <c r="F60" s="3">
        <v>45377</v>
      </c>
      <c r="G60" s="1">
        <f>MONTH(operations[[#This Row],[Date]])</f>
        <v>3</v>
      </c>
    </row>
    <row r="61" spans="1:7" x14ac:dyDescent="0.3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_xlfn.XLOOKUP(operations[[#This Row],[Category]],name[Category], name[Type],"", 0, 1)</f>
        <v>Expense</v>
      </c>
      <c r="F61" s="3">
        <v>45379</v>
      </c>
      <c r="G61" s="1">
        <f>MONTH(operations[[#This Row],[Date]])</f>
        <v>3</v>
      </c>
    </row>
    <row r="62" spans="1:7" x14ac:dyDescent="0.3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_xlfn.XLOOKUP(operations[[#This Row],[Category]],name[Category], name[Type],"", 0, 1)</f>
        <v>Expense</v>
      </c>
      <c r="F62" s="3">
        <v>45381</v>
      </c>
      <c r="G62" s="1">
        <f>MONTH(operations[[#This Row],[Date]])</f>
        <v>3</v>
      </c>
    </row>
    <row r="63" spans="1:7" x14ac:dyDescent="0.3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_xlfn.XLOOKUP(operations[[#This Row],[Category]],name[Category], name[Type],"", 0, 1)</f>
        <v>Expense</v>
      </c>
      <c r="F63" s="3">
        <v>45383</v>
      </c>
      <c r="G63" s="1">
        <f>MONTH(operations[[#This Row],[Date]])</f>
        <v>4</v>
      </c>
    </row>
    <row r="64" spans="1:7" x14ac:dyDescent="0.3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_xlfn.XLOOKUP(operations[[#This Row],[Category]],name[Category], name[Type],"", 0, 1)</f>
        <v>Expense</v>
      </c>
      <c r="F64" s="3">
        <v>45384</v>
      </c>
      <c r="G64" s="1">
        <f>MONTH(operations[[#This Row],[Date]])</f>
        <v>4</v>
      </c>
    </row>
    <row r="65" spans="1:7" x14ac:dyDescent="0.3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_xlfn.XLOOKUP(operations[[#This Row],[Category]],name[Category], name[Type],"", 0, 1)</f>
        <v>Income</v>
      </c>
      <c r="F65" s="3">
        <v>45388</v>
      </c>
      <c r="G65" s="1">
        <f>MONTH(operations[[#This Row],[Date]])</f>
        <v>4</v>
      </c>
    </row>
    <row r="66" spans="1:7" x14ac:dyDescent="0.3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_xlfn.XLOOKUP(operations[[#This Row],[Category]],name[Category], name[Type],"", 0, 1)</f>
        <v>Expense</v>
      </c>
      <c r="F66" s="3">
        <v>45389</v>
      </c>
      <c r="G66" s="1">
        <f>MONTH(operations[[#This Row],[Date]])</f>
        <v>4</v>
      </c>
    </row>
    <row r="67" spans="1:7" x14ac:dyDescent="0.3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_xlfn.XLOOKUP(operations[[#This Row],[Category]],name[Category], name[Type],"", 0, 1)</f>
        <v>Income</v>
      </c>
      <c r="F67" s="3">
        <v>45392</v>
      </c>
      <c r="G67" s="1">
        <f>MONTH(operations[[#This Row],[Date]])</f>
        <v>4</v>
      </c>
    </row>
    <row r="68" spans="1:7" x14ac:dyDescent="0.3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_xlfn.XLOOKUP(operations[[#This Row],[Category]],name[Category], name[Type],"", 0, 1)</f>
        <v>Expense</v>
      </c>
      <c r="F68" s="3">
        <v>45393</v>
      </c>
      <c r="G68" s="1">
        <f>MONTH(operations[[#This Row],[Date]])</f>
        <v>4</v>
      </c>
    </row>
    <row r="69" spans="1:7" x14ac:dyDescent="0.3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Row],[Category]],name[Category], name[Type],"", 0, 1)</f>
        <v>Expense</v>
      </c>
      <c r="F69" s="3">
        <v>45395</v>
      </c>
      <c r="G69" s="1">
        <f>MONTH(operations[[#This Row],[Date]])</f>
        <v>4</v>
      </c>
    </row>
    <row r="70" spans="1:7" x14ac:dyDescent="0.3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_xlfn.XLOOKUP(operations[[#This Row],[Category]],name[Category], name[Type],"", 0, 1)</f>
        <v>Transfer</v>
      </c>
      <c r="F70" s="3">
        <v>45397</v>
      </c>
      <c r="G70" s="1">
        <f>MONTH(operations[[#This Row],[Date]])</f>
        <v>4</v>
      </c>
    </row>
    <row r="71" spans="1:7" x14ac:dyDescent="0.3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_xlfn.XLOOKUP(operations[[#This Row],[Category]],name[Category], name[Type],"", 0, 1)</f>
        <v>Transfer</v>
      </c>
      <c r="F71" s="3">
        <v>45397</v>
      </c>
      <c r="G71" s="1">
        <f>MONTH(operations[[#This Row],[Date]])</f>
        <v>4</v>
      </c>
    </row>
    <row r="72" spans="1:7" x14ac:dyDescent="0.3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_xlfn.XLOOKUP(operations[[#This Row],[Category]],name[Category], name[Type],"", 0, 1)</f>
        <v>Expense</v>
      </c>
      <c r="F72" s="3">
        <v>45397</v>
      </c>
      <c r="G72" s="1">
        <f>MONTH(operations[[#This Row],[Date]])</f>
        <v>4</v>
      </c>
    </row>
    <row r="73" spans="1:7" x14ac:dyDescent="0.3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_xlfn.XLOOKUP(operations[[#This Row],[Category]],name[Category], name[Type],"", 0, 1)</f>
        <v>Expense</v>
      </c>
      <c r="F73" s="3">
        <v>45398</v>
      </c>
      <c r="G73" s="1">
        <f>MONTH(operations[[#This Row],[Date]])</f>
        <v>4</v>
      </c>
    </row>
    <row r="74" spans="1:7" x14ac:dyDescent="0.3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_xlfn.XLOOKUP(operations[[#This Row],[Category]],name[Category], name[Type],"", 0, 1)</f>
        <v>Expense</v>
      </c>
      <c r="F74" s="3">
        <v>45399</v>
      </c>
      <c r="G74" s="1">
        <f>MONTH(operations[[#This Row],[Date]])</f>
        <v>4</v>
      </c>
    </row>
    <row r="75" spans="1:7" x14ac:dyDescent="0.3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_xlfn.XLOOKUP(operations[[#This Row],[Category]],name[Category], name[Type],"", 0, 1)</f>
        <v>Expense</v>
      </c>
      <c r="F75" s="3">
        <v>45401</v>
      </c>
      <c r="G75" s="1">
        <f>MONTH(operations[[#This Row],[Date]])</f>
        <v>4</v>
      </c>
    </row>
    <row r="76" spans="1:7" x14ac:dyDescent="0.3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_xlfn.XLOOKUP(operations[[#This Row],[Category]],name[Category], name[Type],"", 0, 1)</f>
        <v>Expense</v>
      </c>
      <c r="F76" s="3">
        <v>45403</v>
      </c>
      <c r="G76" s="1">
        <f>MONTH(operations[[#This Row],[Date]])</f>
        <v>4</v>
      </c>
    </row>
    <row r="77" spans="1:7" x14ac:dyDescent="0.3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Row],[Category]],name[Category], name[Type],"", 0, 1)</f>
        <v>Expense</v>
      </c>
      <c r="F77" s="3">
        <v>45405</v>
      </c>
      <c r="G77" s="1">
        <f>MONTH(operations[[#This Row],[Date]])</f>
        <v>4</v>
      </c>
    </row>
    <row r="78" spans="1:7" x14ac:dyDescent="0.3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_xlfn.XLOOKUP(operations[[#This Row],[Category]],name[Category], name[Type],"", 0, 1)</f>
        <v>Income</v>
      </c>
      <c r="F78" s="3">
        <v>45407</v>
      </c>
      <c r="G78" s="1">
        <f>MONTH(operations[[#This Row],[Date]])</f>
        <v>4</v>
      </c>
    </row>
    <row r="79" spans="1:7" x14ac:dyDescent="0.3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_xlfn.XLOOKUP(operations[[#This Row],[Category]],name[Category], name[Type],"", 0, 1)</f>
        <v>Expense</v>
      </c>
      <c r="F79" s="3">
        <v>45409</v>
      </c>
      <c r="G79" s="1">
        <f>MONTH(operations[[#This Row],[Date]])</f>
        <v>4</v>
      </c>
    </row>
    <row r="80" spans="1:7" x14ac:dyDescent="0.3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_xlfn.XLOOKUP(operations[[#This Row],[Category]],name[Category], name[Type],"", 0, 1)</f>
        <v>Expense</v>
      </c>
      <c r="F80" s="3">
        <v>45410</v>
      </c>
      <c r="G80" s="1">
        <f>MONTH(operations[[#This Row],[Date]])</f>
        <v>4</v>
      </c>
    </row>
    <row r="81" spans="1:7" x14ac:dyDescent="0.3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Row],[Category]],name[Category], name[Type],"", 0, 1)</f>
        <v>Expense</v>
      </c>
      <c r="F81" s="3">
        <v>45411</v>
      </c>
      <c r="G81" s="1">
        <f>MONTH(operations[[#This Row],[Date]])</f>
        <v>4</v>
      </c>
    </row>
    <row r="82" spans="1:7" x14ac:dyDescent="0.3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_xlfn.XLOOKUP(operations[[#This Row],[Category]],name[Category], name[Type],"", 0, 1)</f>
        <v>Expense</v>
      </c>
      <c r="F82" s="3">
        <v>45419</v>
      </c>
      <c r="G82" s="1">
        <f>MONTH(operations[[#This Row],[Date]])</f>
        <v>5</v>
      </c>
    </row>
    <row r="83" spans="1:7" x14ac:dyDescent="0.3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_xlfn.XLOOKUP(operations[[#This Row],[Category]],name[Category], name[Type],"", 0, 1)</f>
        <v>Expense</v>
      </c>
      <c r="F83" s="3">
        <v>45422</v>
      </c>
      <c r="G83" s="1">
        <f>MONTH(operations[[#This Row],[Date]])</f>
        <v>5</v>
      </c>
    </row>
    <row r="84" spans="1:7" x14ac:dyDescent="0.3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_xlfn.XLOOKUP(operations[[#This Row],[Category]],name[Category], name[Type],"", 0, 1)</f>
        <v>Income</v>
      </c>
      <c r="F84" s="3">
        <v>45422</v>
      </c>
      <c r="G84" s="1">
        <f>MONTH(operations[[#This Row],[Date]])</f>
        <v>5</v>
      </c>
    </row>
    <row r="85" spans="1:7" x14ac:dyDescent="0.3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_xlfn.XLOOKUP(operations[[#This Row],[Category]],name[Category], name[Type],"", 0, 1)</f>
        <v>Expense</v>
      </c>
      <c r="F85" s="3">
        <v>45423</v>
      </c>
      <c r="G85" s="1">
        <f>MONTH(operations[[#This Row],[Date]])</f>
        <v>5</v>
      </c>
    </row>
    <row r="86" spans="1:7" x14ac:dyDescent="0.3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_xlfn.XLOOKUP(operations[[#This Row],[Category]],name[Category], name[Type],"", 0, 1)</f>
        <v>Expense</v>
      </c>
      <c r="F86" s="3">
        <v>45426</v>
      </c>
      <c r="G86" s="1">
        <f>MONTH(operations[[#This Row],[Date]])</f>
        <v>5</v>
      </c>
    </row>
    <row r="87" spans="1:7" x14ac:dyDescent="0.3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_xlfn.XLOOKUP(operations[[#This Row],[Category]],name[Category], name[Type],"", 0, 1)</f>
        <v>Transfer</v>
      </c>
      <c r="F87" s="3">
        <v>45427</v>
      </c>
      <c r="G87" s="1">
        <f>MONTH(operations[[#This Row],[Date]])</f>
        <v>5</v>
      </c>
    </row>
    <row r="88" spans="1:7" x14ac:dyDescent="0.3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_xlfn.XLOOKUP(operations[[#This Row],[Category]],name[Category], name[Type],"", 0, 1)</f>
        <v>Transfer</v>
      </c>
      <c r="F88" s="3">
        <v>45427</v>
      </c>
      <c r="G88" s="1">
        <f>MONTH(operations[[#This Row],[Date]])</f>
        <v>5</v>
      </c>
    </row>
    <row r="89" spans="1:7" x14ac:dyDescent="0.3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_xlfn.XLOOKUP(operations[[#This Row],[Category]],name[Category], name[Type],"", 0, 1)</f>
        <v>Expense</v>
      </c>
      <c r="F89" s="3">
        <v>45433</v>
      </c>
      <c r="G89" s="1">
        <f>MONTH(operations[[#This Row],[Date]])</f>
        <v>5</v>
      </c>
    </row>
    <row r="90" spans="1:7" x14ac:dyDescent="0.3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_xlfn.XLOOKUP(operations[[#This Row],[Category]],name[Category], name[Type],"", 0, 1)</f>
        <v>Expense</v>
      </c>
      <c r="F90" s="3">
        <v>45440</v>
      </c>
      <c r="G90" s="1">
        <f>MONTH(operations[[#This Row],[Date]])</f>
        <v>5</v>
      </c>
    </row>
    <row r="91" spans="1:7" x14ac:dyDescent="0.3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_xlfn.XLOOKUP(operations[[#This Row],[Category]],name[Category], name[Type],"", 0, 1)</f>
        <v>Expense</v>
      </c>
      <c r="F91" s="3">
        <v>45441</v>
      </c>
      <c r="G91" s="1">
        <f>MONTH(operations[[#This Row],[Date]])</f>
        <v>5</v>
      </c>
    </row>
    <row r="92" spans="1:7" x14ac:dyDescent="0.3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_xlfn.XLOOKUP(operations[[#This Row],[Category]],name[Category], name[Type],"", 0, 1)</f>
        <v>Expense</v>
      </c>
      <c r="F92" s="3">
        <v>45442</v>
      </c>
      <c r="G92" s="1">
        <f>MONTH(operations[[#This Row],[Date]])</f>
        <v>5</v>
      </c>
    </row>
    <row r="93" spans="1:7" x14ac:dyDescent="0.3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_xlfn.XLOOKUP(operations[[#This Row],[Category]],name[Category], name[Type],"", 0, 1)</f>
        <v>Expense</v>
      </c>
      <c r="F93" s="3">
        <v>45450</v>
      </c>
      <c r="G93" s="1">
        <f>MONTH(operations[[#This Row],[Date]])</f>
        <v>6</v>
      </c>
    </row>
    <row r="94" spans="1:7" x14ac:dyDescent="0.3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_xlfn.XLOOKUP(operations[[#This Row],[Category]],name[Category], name[Type],"", 0, 1)</f>
        <v>Expense</v>
      </c>
      <c r="F94" s="3">
        <v>45453</v>
      </c>
      <c r="G94" s="1">
        <f>MONTH(operations[[#This Row],[Date]])</f>
        <v>6</v>
      </c>
    </row>
    <row r="95" spans="1:7" x14ac:dyDescent="0.3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_xlfn.XLOOKUP(operations[[#This Row],[Category]],name[Category], name[Type],"", 0, 1)</f>
        <v>Income</v>
      </c>
      <c r="F95" s="3">
        <v>45453</v>
      </c>
      <c r="G95" s="1">
        <f>MONTH(operations[[#This Row],[Date]])</f>
        <v>6</v>
      </c>
    </row>
    <row r="96" spans="1:7" x14ac:dyDescent="0.3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_xlfn.XLOOKUP(operations[[#This Row],[Category]],name[Category], name[Type],"", 0, 1)</f>
        <v>Expense</v>
      </c>
      <c r="F96" s="3">
        <v>45454</v>
      </c>
      <c r="G96" s="1">
        <f>MONTH(operations[[#This Row],[Date]])</f>
        <v>6</v>
      </c>
    </row>
    <row r="97" spans="1:7" x14ac:dyDescent="0.3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_xlfn.XLOOKUP(operations[[#This Row],[Category]],name[Category], name[Type],"", 0, 1)</f>
        <v>Expense</v>
      </c>
      <c r="F97" s="3">
        <v>45457</v>
      </c>
      <c r="G97" s="1">
        <f>MONTH(operations[[#This Row],[Date]])</f>
        <v>6</v>
      </c>
    </row>
    <row r="98" spans="1:7" x14ac:dyDescent="0.3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_xlfn.XLOOKUP(operations[[#This Row],[Category]],name[Category], name[Type],"", 0, 1)</f>
        <v>Transfer</v>
      </c>
      <c r="F98" s="3">
        <v>45458</v>
      </c>
      <c r="G98" s="1">
        <f>MONTH(operations[[#This Row],[Date]])</f>
        <v>6</v>
      </c>
    </row>
    <row r="99" spans="1:7" x14ac:dyDescent="0.3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_xlfn.XLOOKUP(operations[[#This Row],[Category]],name[Category], name[Type],"", 0, 1)</f>
        <v>Transfer</v>
      </c>
      <c r="F99" s="3">
        <v>45458</v>
      </c>
      <c r="G99" s="1">
        <f>MONTH(operations[[#This Row],[Date]])</f>
        <v>6</v>
      </c>
    </row>
    <row r="100" spans="1:7" x14ac:dyDescent="0.3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_xlfn.XLOOKUP(operations[[#This Row],[Category]],name[Category], name[Type],"", 0, 1)</f>
        <v>Expense</v>
      </c>
      <c r="F100" s="3">
        <v>45458</v>
      </c>
      <c r="G100" s="1">
        <f>MONTH(operations[[#This Row],[Date]])</f>
        <v>6</v>
      </c>
    </row>
    <row r="101" spans="1:7" x14ac:dyDescent="0.3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_xlfn.XLOOKUP(operations[[#This Row],[Category]],name[Category], name[Type],"", 0, 1)</f>
        <v>Expense</v>
      </c>
      <c r="F101" s="3">
        <v>45464</v>
      </c>
      <c r="G101" s="1">
        <f>MONTH(operations[[#This Row],[Date]])</f>
        <v>6</v>
      </c>
    </row>
    <row r="102" spans="1:7" x14ac:dyDescent="0.3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_xlfn.XLOOKUP(operations[[#This Row],[Category]],name[Category], name[Type],"", 0, 1)</f>
        <v>Expense</v>
      </c>
      <c r="F102" s="3">
        <v>45471</v>
      </c>
      <c r="G102" s="1">
        <f>MONTH(operations[[#This Row],[Date]])</f>
        <v>6</v>
      </c>
    </row>
    <row r="103" spans="1:7" x14ac:dyDescent="0.3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_xlfn.XLOOKUP(operations[[#This Row],[Category]],name[Category], name[Type],"", 0, 1)</f>
        <v>Expense</v>
      </c>
      <c r="F103" s="3">
        <v>45471</v>
      </c>
      <c r="G103" s="1">
        <f>MONTH(operations[[#This Row],[Date]])</f>
        <v>6</v>
      </c>
    </row>
    <row r="104" spans="1:7" x14ac:dyDescent="0.3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_xlfn.XLOOKUP(operations[[#This Row],[Category]],name[Category], name[Type],"", 0, 1)</f>
        <v>Expense</v>
      </c>
      <c r="F104" s="3">
        <v>45472</v>
      </c>
      <c r="G104" s="1">
        <f>MONTH(operations[[#This Row],[Date]])</f>
        <v>6</v>
      </c>
    </row>
    <row r="105" spans="1:7" x14ac:dyDescent="0.3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_xlfn.XLOOKUP(operations[[#This Row],[Category]],name[Category], name[Type],"", 0, 1)</f>
        <v>Income</v>
      </c>
      <c r="F105" s="3">
        <v>45472</v>
      </c>
      <c r="G105" s="1">
        <f>MONTH(operations[[#This Row],[Date]])</f>
        <v>6</v>
      </c>
    </row>
    <row r="106" spans="1:7" x14ac:dyDescent="0.3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_xlfn.XLOOKUP(operations[[#This Row],[Category]],name[Category], name[Type],"", 0, 1)</f>
        <v>Expense</v>
      </c>
      <c r="F106" s="3">
        <v>45473</v>
      </c>
      <c r="G106" s="1">
        <f>MONTH(operations[[#This Row],[Date]])</f>
        <v>6</v>
      </c>
    </row>
    <row r="107" spans="1:7" x14ac:dyDescent="0.3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_xlfn.XLOOKUP(operations[[#This Row],[Category]],name[Category], name[Type],"", 0, 1)</f>
        <v>Expense</v>
      </c>
      <c r="F107" s="3">
        <v>45476</v>
      </c>
      <c r="G107" s="1">
        <f>MONTH(operations[[#This Row],[Date]])</f>
        <v>7</v>
      </c>
    </row>
    <row r="108" spans="1:7" x14ac:dyDescent="0.3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Row],[Category]],name[Category], name[Type],"", 0, 1)</f>
        <v>Expense</v>
      </c>
      <c r="F108" s="3">
        <v>45480</v>
      </c>
      <c r="G108" s="1">
        <f>MONTH(operations[[#This Row],[Date]])</f>
        <v>7</v>
      </c>
    </row>
    <row r="109" spans="1:7" x14ac:dyDescent="0.3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_xlfn.XLOOKUP(operations[[#This Row],[Category]],name[Category], name[Type],"", 0, 1)</f>
        <v>Income</v>
      </c>
      <c r="F109" s="3">
        <v>45483</v>
      </c>
      <c r="G109" s="1">
        <f>MONTH(operations[[#This Row],[Date]])</f>
        <v>7</v>
      </c>
    </row>
    <row r="110" spans="1:7" x14ac:dyDescent="0.3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_xlfn.XLOOKUP(operations[[#This Row],[Category]],name[Category], name[Type],"", 0, 1)</f>
        <v>Expense</v>
      </c>
      <c r="F110" s="3">
        <v>45484</v>
      </c>
      <c r="G110" s="1">
        <f>MONTH(operations[[#This Row],[Date]])</f>
        <v>7</v>
      </c>
    </row>
    <row r="111" spans="1:7" x14ac:dyDescent="0.3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_xlfn.XLOOKUP(operations[[#This Row],[Category]],name[Category], name[Type],"", 0, 1)</f>
        <v>Expense</v>
      </c>
      <c r="F111" s="3">
        <v>45487</v>
      </c>
      <c r="G111" s="1">
        <f>MONTH(operations[[#This Row],[Date]])</f>
        <v>7</v>
      </c>
    </row>
    <row r="112" spans="1:7" x14ac:dyDescent="0.3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_xlfn.XLOOKUP(operations[[#This Row],[Category]],name[Category], name[Type],"", 0, 1)</f>
        <v>Transfer</v>
      </c>
      <c r="F112" s="3">
        <v>45488</v>
      </c>
      <c r="G112" s="1">
        <f>MONTH(operations[[#This Row],[Date]])</f>
        <v>7</v>
      </c>
    </row>
    <row r="113" spans="1:7" x14ac:dyDescent="0.3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_xlfn.XLOOKUP(operations[[#This Row],[Category]],name[Category], name[Type],"", 0, 1)</f>
        <v>Transfer</v>
      </c>
      <c r="F113" s="3">
        <v>45488</v>
      </c>
      <c r="G113" s="1">
        <f>MONTH(operations[[#This Row],[Date]])</f>
        <v>7</v>
      </c>
    </row>
    <row r="114" spans="1:7" x14ac:dyDescent="0.3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_xlfn.XLOOKUP(operations[[#This Row],[Category]],name[Category], name[Type],"", 0, 1)</f>
        <v>Expense</v>
      </c>
      <c r="F114" s="3">
        <v>45489</v>
      </c>
      <c r="G114" s="1">
        <f>MONTH(operations[[#This Row],[Date]])</f>
        <v>7</v>
      </c>
    </row>
    <row r="115" spans="1:7" x14ac:dyDescent="0.3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_xlfn.XLOOKUP(operations[[#This Row],[Category]],name[Category], name[Type],"", 0, 1)</f>
        <v>Income</v>
      </c>
      <c r="F115" s="3">
        <v>45491</v>
      </c>
      <c r="G115" s="1">
        <f>MONTH(operations[[#This Row],[Date]])</f>
        <v>7</v>
      </c>
    </row>
    <row r="116" spans="1:7" x14ac:dyDescent="0.3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_xlfn.XLOOKUP(operations[[#This Row],[Category]],name[Category], name[Type],"", 0, 1)</f>
        <v>Expense</v>
      </c>
      <c r="F116" s="3">
        <v>45494</v>
      </c>
      <c r="G116" s="1">
        <f>MONTH(operations[[#This Row],[Date]])</f>
        <v>7</v>
      </c>
    </row>
    <row r="117" spans="1:7" x14ac:dyDescent="0.3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_xlfn.XLOOKUP(operations[[#This Row],[Category]],name[Category], name[Type],"", 0, 1)</f>
        <v>Income</v>
      </c>
      <c r="F117" s="3">
        <v>45495</v>
      </c>
      <c r="G117" s="1">
        <f>MONTH(operations[[#This Row],[Date]])</f>
        <v>7</v>
      </c>
    </row>
    <row r="118" spans="1:7" x14ac:dyDescent="0.3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_xlfn.XLOOKUP(operations[[#This Row],[Category]],name[Category], name[Type],"", 0, 1)</f>
        <v>Expense</v>
      </c>
      <c r="F118" s="3">
        <v>45497</v>
      </c>
      <c r="G118" s="1">
        <f>MONTH(operations[[#This Row],[Date]])</f>
        <v>7</v>
      </c>
    </row>
    <row r="119" spans="1:7" x14ac:dyDescent="0.3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_xlfn.XLOOKUP(operations[[#This Row],[Category]],name[Category], name[Type],"", 0, 1)</f>
        <v>Expense</v>
      </c>
      <c r="F119" s="3">
        <v>45499</v>
      </c>
      <c r="G119" s="1">
        <f>MONTH(operations[[#This Row],[Date]])</f>
        <v>7</v>
      </c>
    </row>
    <row r="120" spans="1:7" x14ac:dyDescent="0.3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_xlfn.XLOOKUP(operations[[#This Row],[Category]],name[Category], name[Type],"", 0, 1)</f>
        <v>Expense</v>
      </c>
      <c r="F120" s="3">
        <v>45502</v>
      </c>
      <c r="G120" s="1">
        <f>MONTH(operations[[#This Row],[Date]])</f>
        <v>7</v>
      </c>
    </row>
    <row r="121" spans="1:7" x14ac:dyDescent="0.3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_xlfn.XLOOKUP(operations[[#This Row],[Category]],name[Category], name[Type],"", 0, 1)</f>
        <v>Income</v>
      </c>
      <c r="F121" s="3">
        <v>45503</v>
      </c>
      <c r="G121" s="1">
        <f>MONTH(operations[[#This Row],[Date]])</f>
        <v>7</v>
      </c>
    </row>
    <row r="122" spans="1:7" x14ac:dyDescent="0.3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_xlfn.XLOOKUP(operations[[#This Row],[Category]],name[Category], name[Type],"", 0, 1)</f>
        <v>Expense</v>
      </c>
      <c r="F122" s="3">
        <v>45504</v>
      </c>
      <c r="G122" s="1">
        <f>MONTH(operations[[#This Row],[Date]])</f>
        <v>7</v>
      </c>
    </row>
    <row r="123" spans="1:7" x14ac:dyDescent="0.3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_xlfn.XLOOKUP(operations[[#This Row],[Category]],name[Category], name[Type],"", 0, 1)</f>
        <v>Expense</v>
      </c>
      <c r="F123" s="3">
        <v>45505</v>
      </c>
      <c r="G123" s="1">
        <f>MONTH(operations[[#This Row],[Date]])</f>
        <v>8</v>
      </c>
    </row>
    <row r="124" spans="1:7" x14ac:dyDescent="0.3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_xlfn.XLOOKUP(operations[[#This Row],[Category]],name[Category], name[Type],"", 0, 1)</f>
        <v>Transfer</v>
      </c>
      <c r="F124" s="3">
        <v>45505</v>
      </c>
      <c r="G124" s="1">
        <f>MONTH(operations[[#This Row],[Date]])</f>
        <v>8</v>
      </c>
    </row>
    <row r="125" spans="1:7" x14ac:dyDescent="0.3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_xlfn.XLOOKUP(operations[[#This Row],[Category]],name[Category], name[Type],"", 0, 1)</f>
        <v>Expense</v>
      </c>
      <c r="F125" s="3">
        <v>45505</v>
      </c>
      <c r="G125" s="1">
        <f>MONTH(operations[[#This Row],[Date]])</f>
        <v>8</v>
      </c>
    </row>
    <row r="126" spans="1:7" x14ac:dyDescent="0.3">
      <c r="A126" s="34">
        <v>1020</v>
      </c>
      <c r="B126" t="s">
        <v>7</v>
      </c>
      <c r="C126" t="s">
        <v>8</v>
      </c>
      <c r="D126" t="s">
        <v>31</v>
      </c>
      <c r="E126" t="s">
        <v>31</v>
      </c>
      <c r="F126" s="3">
        <v>45505</v>
      </c>
      <c r="G126">
        <f>MONTH(operations[[#This Row],[Date]])</f>
        <v>8</v>
      </c>
    </row>
    <row r="127" spans="1:7" x14ac:dyDescent="0.3">
      <c r="A127" s="2">
        <v>-70</v>
      </c>
      <c r="B127" s="1" t="s">
        <v>7</v>
      </c>
      <c r="C127" s="1" t="s">
        <v>9</v>
      </c>
      <c r="D127" s="1" t="s">
        <v>17</v>
      </c>
      <c r="E127" s="1" t="str">
        <f>_xlfn.XLOOKUP(operations[[#This Row],[Category]],name[Category], name[Type],"", 0, 1)</f>
        <v>Expense</v>
      </c>
      <c r="F127" s="3">
        <v>45513</v>
      </c>
      <c r="G127" s="1">
        <f>MONTH(operations[[#This Row],[Date]])</f>
        <v>8</v>
      </c>
    </row>
    <row r="128" spans="1:7" x14ac:dyDescent="0.3">
      <c r="A128" s="2">
        <v>4500</v>
      </c>
      <c r="B128" s="1" t="s">
        <v>7</v>
      </c>
      <c r="C128" s="1" t="s">
        <v>8</v>
      </c>
      <c r="D128" s="1" t="s">
        <v>26</v>
      </c>
      <c r="E128" s="1" t="str">
        <f>_xlfn.XLOOKUP(operations[[#This Row],[Category]],name[Category], name[Type],"", 0, 1)</f>
        <v>Income</v>
      </c>
      <c r="F128" s="3">
        <v>45514</v>
      </c>
      <c r="G128" s="1">
        <f>MONTH(operations[[#This Row],[Date]])</f>
        <v>8</v>
      </c>
    </row>
    <row r="129" spans="1:7" x14ac:dyDescent="0.3">
      <c r="A129" s="2">
        <v>-2000</v>
      </c>
      <c r="B129" s="1" t="s">
        <v>7</v>
      </c>
      <c r="C129" s="1" t="s">
        <v>8</v>
      </c>
      <c r="D129" s="1" t="s">
        <v>18</v>
      </c>
      <c r="E129" s="1" t="str">
        <f>_xlfn.XLOOKUP(operations[[#This Row],[Category]],name[Category], name[Type],"", 0, 1)</f>
        <v>Expense</v>
      </c>
      <c r="F129" s="3">
        <v>45515</v>
      </c>
      <c r="G129" s="1">
        <f>MONTH(operations[[#This Row],[Date]])</f>
        <v>8</v>
      </c>
    </row>
    <row r="130" spans="1:7" x14ac:dyDescent="0.3">
      <c r="A130" s="2">
        <v>-100</v>
      </c>
      <c r="B130" s="1" t="s">
        <v>11</v>
      </c>
      <c r="C130" s="1" t="s">
        <v>8</v>
      </c>
      <c r="D130" s="1" t="s">
        <v>20</v>
      </c>
      <c r="E130" s="1" t="str">
        <f>_xlfn.XLOOKUP(operations[[#This Row],[Category]],name[Category], name[Type],"", 0, 1)</f>
        <v>Expense</v>
      </c>
      <c r="F130" s="3">
        <v>45518</v>
      </c>
      <c r="G130" s="1">
        <f>MONTH(operations[[#This Row],[Date]])</f>
        <v>8</v>
      </c>
    </row>
    <row r="131" spans="1:7" x14ac:dyDescent="0.3">
      <c r="A131" s="2">
        <v>135</v>
      </c>
      <c r="B131" s="1" t="s">
        <v>7</v>
      </c>
      <c r="C131" s="1" t="s">
        <v>9</v>
      </c>
      <c r="D131" s="1" t="s">
        <v>31</v>
      </c>
      <c r="E131" s="1" t="str">
        <f>_xlfn.XLOOKUP(operations[[#This Row],[Category]],name[Category], name[Type],"", 0, 1)</f>
        <v>Transfer</v>
      </c>
      <c r="F131" s="3">
        <v>45519</v>
      </c>
      <c r="G131" s="1">
        <f>MONTH(operations[[#This Row],[Date]])</f>
        <v>8</v>
      </c>
    </row>
    <row r="132" spans="1:7" x14ac:dyDescent="0.3">
      <c r="A132" s="2">
        <v>-135</v>
      </c>
      <c r="B132" s="1" t="s">
        <v>7</v>
      </c>
      <c r="C132" s="1" t="s">
        <v>8</v>
      </c>
      <c r="D132" s="1" t="s">
        <v>31</v>
      </c>
      <c r="E132" s="1" t="str">
        <f>_xlfn.XLOOKUP(operations[[#This Row],[Category]],name[Category], name[Type],"", 0, 1)</f>
        <v>Transfer</v>
      </c>
      <c r="F132" s="3">
        <v>45519</v>
      </c>
      <c r="G132" s="1">
        <f>MONTH(operations[[#This Row],[Date]])</f>
        <v>8</v>
      </c>
    </row>
    <row r="133" spans="1:7" x14ac:dyDescent="0.3">
      <c r="A133" s="2">
        <v>-400</v>
      </c>
      <c r="B133" s="1" t="s">
        <v>7</v>
      </c>
      <c r="C133" s="1" t="s">
        <v>8</v>
      </c>
      <c r="D133" s="1" t="s">
        <v>21</v>
      </c>
      <c r="E133" s="1" t="str">
        <f>_xlfn.XLOOKUP(operations[[#This Row],[Category]],name[Category], name[Type],"", 0, 1)</f>
        <v>Expense</v>
      </c>
      <c r="F133" s="3">
        <v>45520</v>
      </c>
      <c r="G133" s="1">
        <f>MONTH(operations[[#This Row],[Date]])</f>
        <v>8</v>
      </c>
    </row>
    <row r="134" spans="1:7" x14ac:dyDescent="0.3">
      <c r="A134" s="2">
        <v>-32</v>
      </c>
      <c r="B134" s="1" t="s">
        <v>7</v>
      </c>
      <c r="C134" s="1" t="s">
        <v>9</v>
      </c>
      <c r="D134" s="1" t="s">
        <v>17</v>
      </c>
      <c r="E134" s="1" t="str">
        <f>_xlfn.XLOOKUP(operations[[#This Row],[Category]],name[Category], name[Type],"", 0, 1)</f>
        <v>Expense</v>
      </c>
      <c r="F134" s="3">
        <v>45522</v>
      </c>
      <c r="G134" s="1">
        <f>MONTH(operations[[#This Row],[Date]])</f>
        <v>8</v>
      </c>
    </row>
    <row r="135" spans="1:7" x14ac:dyDescent="0.3">
      <c r="A135" s="2">
        <v>200</v>
      </c>
      <c r="B135" s="1" t="s">
        <v>13</v>
      </c>
      <c r="C135" s="1" t="s">
        <v>14</v>
      </c>
      <c r="D135" s="1" t="s">
        <v>29</v>
      </c>
      <c r="E135" s="1" t="str">
        <f>_xlfn.XLOOKUP(operations[[#This Row],[Category]],name[Category], name[Type],"", 0, 1)</f>
        <v>Income</v>
      </c>
      <c r="F135" s="3">
        <v>45524</v>
      </c>
      <c r="G135" s="1">
        <f>MONTH(operations[[#This Row],[Date]])</f>
        <v>8</v>
      </c>
    </row>
    <row r="136" spans="1:7" x14ac:dyDescent="0.3">
      <c r="A136" s="2">
        <v>-150</v>
      </c>
      <c r="B136" s="1" t="s">
        <v>13</v>
      </c>
      <c r="C136" s="1" t="s">
        <v>14</v>
      </c>
      <c r="D136" s="1" t="s">
        <v>20</v>
      </c>
      <c r="E136" s="1" t="str">
        <f>_xlfn.XLOOKUP(operations[[#This Row],[Category]],name[Category], name[Type],"", 0, 1)</f>
        <v>Expense</v>
      </c>
      <c r="F136" s="3">
        <v>45526</v>
      </c>
      <c r="G136" s="1">
        <f>MONTH(operations[[#This Row],[Date]])</f>
        <v>8</v>
      </c>
    </row>
    <row r="137" spans="1:7" x14ac:dyDescent="0.3">
      <c r="A137" s="2">
        <v>-47.5</v>
      </c>
      <c r="B137" s="1" t="s">
        <v>13</v>
      </c>
      <c r="C137" s="1" t="s">
        <v>14</v>
      </c>
      <c r="D137" s="1" t="s">
        <v>17</v>
      </c>
      <c r="E137" s="1" t="str">
        <f>_xlfn.XLOOKUP(operations[[#This Row],[Category]],name[Category], name[Type],"", 0, 1)</f>
        <v>Expense</v>
      </c>
      <c r="F137" s="3">
        <v>45527</v>
      </c>
      <c r="G137" s="1">
        <f>MONTH(operations[[#This Row],[Date]])</f>
        <v>8</v>
      </c>
    </row>
    <row r="138" spans="1:7" x14ac:dyDescent="0.3">
      <c r="A138" s="2">
        <v>-90</v>
      </c>
      <c r="B138" s="1" t="s">
        <v>7</v>
      </c>
      <c r="C138" s="1" t="s">
        <v>8</v>
      </c>
      <c r="D138" s="1" t="s">
        <v>16</v>
      </c>
      <c r="E138" s="1" t="str">
        <f>_xlfn.XLOOKUP(operations[[#This Row],[Category]],name[Category], name[Type],"", 0, 1)</f>
        <v>Expense</v>
      </c>
      <c r="F138" s="3">
        <v>45528</v>
      </c>
      <c r="G138" s="1">
        <f>MONTH(operations[[#This Row],[Date]])</f>
        <v>8</v>
      </c>
    </row>
    <row r="139" spans="1:7" x14ac:dyDescent="0.3">
      <c r="A139" s="2">
        <v>-300</v>
      </c>
      <c r="B139" s="1" t="s">
        <v>11</v>
      </c>
      <c r="C139" s="1" t="s">
        <v>12</v>
      </c>
      <c r="D139" s="1" t="s">
        <v>22</v>
      </c>
      <c r="E139" s="1" t="str">
        <f>_xlfn.XLOOKUP(operations[[#This Row],[Category]],name[Category], name[Type],"", 0, 1)</f>
        <v>Expense</v>
      </c>
      <c r="F139" s="3">
        <v>45531</v>
      </c>
      <c r="G139" s="1">
        <f>MONTH(operations[[#This Row],[Date]])</f>
        <v>8</v>
      </c>
    </row>
    <row r="140" spans="1:7" x14ac:dyDescent="0.3">
      <c r="A140" s="2">
        <v>500</v>
      </c>
      <c r="B140" s="1" t="s">
        <v>11</v>
      </c>
      <c r="C140" s="1" t="s">
        <v>8</v>
      </c>
      <c r="D140" s="1" t="s">
        <v>27</v>
      </c>
      <c r="E140" s="1" t="str">
        <f>_xlfn.XLOOKUP(operations[[#This Row],[Category]],name[Category], name[Type],"", 0, 1)</f>
        <v>Income</v>
      </c>
      <c r="F140" s="3">
        <v>45534</v>
      </c>
      <c r="G140" s="1">
        <f>MONTH(operations[[#This Row],[Date]])</f>
        <v>8</v>
      </c>
    </row>
    <row r="141" spans="1:7" x14ac:dyDescent="0.3">
      <c r="A141" s="2">
        <v>200</v>
      </c>
      <c r="B141" s="1" t="s">
        <v>7</v>
      </c>
      <c r="C141" s="1" t="s">
        <v>8</v>
      </c>
      <c r="D141" s="1" t="s">
        <v>29</v>
      </c>
      <c r="E141" s="1" t="str">
        <f>_xlfn.XLOOKUP(operations[[#This Row],[Category]],name[Category], name[Type],"", 0, 1)</f>
        <v>Income</v>
      </c>
      <c r="F141" s="3">
        <v>45535</v>
      </c>
      <c r="G141" s="1">
        <f>MONTH(operations[[#This Row],[Date]])</f>
        <v>8</v>
      </c>
    </row>
    <row r="142" spans="1:7" x14ac:dyDescent="0.3">
      <c r="A142" s="2">
        <v>-150</v>
      </c>
      <c r="B142" s="1" t="s">
        <v>7</v>
      </c>
      <c r="C142" s="1" t="s">
        <v>8</v>
      </c>
      <c r="D142" s="1" t="s">
        <v>16</v>
      </c>
      <c r="E142" s="1" t="str">
        <f>_xlfn.XLOOKUP(operations[[#This Row],[Category]],name[Category], name[Type],"", 0, 1)</f>
        <v>Expense</v>
      </c>
      <c r="F142" s="3">
        <v>45536</v>
      </c>
      <c r="G142" s="1">
        <f>MONTH(operations[[#This Row],[Date]])</f>
        <v>9</v>
      </c>
    </row>
    <row r="143" spans="1:7" x14ac:dyDescent="0.3">
      <c r="A143" s="2">
        <v>-20</v>
      </c>
      <c r="B143" s="1" t="s">
        <v>11</v>
      </c>
      <c r="C143" s="1" t="s">
        <v>8</v>
      </c>
      <c r="D143" s="1" t="s">
        <v>17</v>
      </c>
      <c r="E143" s="1" t="str">
        <f>_xlfn.XLOOKUP(operations[[#This Row],[Category]],name[Category], name[Type],"", 0, 1)</f>
        <v>Expense</v>
      </c>
      <c r="F143" s="3">
        <v>45539</v>
      </c>
      <c r="G143" s="1">
        <f>MONTH(operations[[#This Row],[Date]])</f>
        <v>9</v>
      </c>
    </row>
    <row r="144" spans="1:7" x14ac:dyDescent="0.3">
      <c r="A144" s="2">
        <v>-40</v>
      </c>
      <c r="B144" s="1" t="s">
        <v>7</v>
      </c>
      <c r="C144" s="1" t="s">
        <v>8</v>
      </c>
      <c r="D144" s="1" t="s">
        <v>19</v>
      </c>
      <c r="E144" s="1" t="str">
        <f>_xlfn.XLOOKUP(operations[[#This Row],[Category]],name[Category], name[Type],"", 0, 1)</f>
        <v>Expense</v>
      </c>
      <c r="F144" s="3">
        <v>45542</v>
      </c>
      <c r="G144" s="1">
        <f>MONTH(operations[[#This Row],[Date]])</f>
        <v>9</v>
      </c>
    </row>
    <row r="145" spans="1:7" x14ac:dyDescent="0.3">
      <c r="A145" s="2">
        <v>-500</v>
      </c>
      <c r="B145" s="1" t="s">
        <v>7</v>
      </c>
      <c r="C145" s="1" t="s">
        <v>8</v>
      </c>
      <c r="D145" s="1" t="s">
        <v>17</v>
      </c>
      <c r="E145" s="1" t="str">
        <f>_xlfn.XLOOKUP(operations[[#This Row],[Category]],name[Category], name[Type],"", 0, 1)</f>
        <v>Expense</v>
      </c>
      <c r="F145" s="3">
        <v>45543</v>
      </c>
      <c r="G145" s="1">
        <f>MONTH(operations[[#This Row],[Date]])</f>
        <v>9</v>
      </c>
    </row>
    <row r="146" spans="1:7" x14ac:dyDescent="0.3">
      <c r="A146" s="2">
        <v>4500</v>
      </c>
      <c r="B146" s="1" t="s">
        <v>7</v>
      </c>
      <c r="C146" s="1" t="s">
        <v>8</v>
      </c>
      <c r="D146" s="1" t="s">
        <v>26</v>
      </c>
      <c r="E146" s="1" t="str">
        <f>_xlfn.XLOOKUP(operations[[#This Row],[Category]],name[Category], name[Type],"", 0, 1)</f>
        <v>Income</v>
      </c>
      <c r="F146" s="3">
        <v>45545</v>
      </c>
      <c r="G146" s="1">
        <f>MONTH(operations[[#This Row],[Date]])</f>
        <v>9</v>
      </c>
    </row>
    <row r="147" spans="1:7" x14ac:dyDescent="0.3">
      <c r="A147" s="2">
        <v>-20</v>
      </c>
      <c r="B147" s="1" t="s">
        <v>7</v>
      </c>
      <c r="C147" s="1" t="s">
        <v>9</v>
      </c>
      <c r="D147" s="1" t="s">
        <v>20</v>
      </c>
      <c r="E147" s="1" t="str">
        <f>_xlfn.XLOOKUP(operations[[#This Row],[Category]],name[Category], name[Type],"", 0, 1)</f>
        <v>Expense</v>
      </c>
      <c r="F147" s="3">
        <v>45546</v>
      </c>
      <c r="G147" s="1">
        <f>MONTH(operations[[#This Row],[Date]])</f>
        <v>9</v>
      </c>
    </row>
    <row r="148" spans="1:7" x14ac:dyDescent="0.3">
      <c r="A148" s="2">
        <v>-2000</v>
      </c>
      <c r="B148" s="1" t="s">
        <v>7</v>
      </c>
      <c r="C148" s="1" t="s">
        <v>8</v>
      </c>
      <c r="D148" s="1" t="s">
        <v>18</v>
      </c>
      <c r="E148" s="1" t="str">
        <f>_xlfn.XLOOKUP(operations[[#This Row],[Category]],name[Category], name[Type],"", 0, 1)</f>
        <v>Expense</v>
      </c>
      <c r="F148" s="3">
        <v>45546</v>
      </c>
      <c r="G148" s="1">
        <f>MONTH(operations[[#This Row],[Date]])</f>
        <v>9</v>
      </c>
    </row>
    <row r="149" spans="1:7" x14ac:dyDescent="0.3">
      <c r="A149" s="2">
        <v>102</v>
      </c>
      <c r="B149" s="1" t="s">
        <v>7</v>
      </c>
      <c r="C149" s="1" t="s">
        <v>9</v>
      </c>
      <c r="D149" s="1" t="s">
        <v>31</v>
      </c>
      <c r="E149" s="1" t="str">
        <f>_xlfn.XLOOKUP(operations[[#This Row],[Category]],name[Category], name[Type],"", 0, 1)</f>
        <v>Transfer</v>
      </c>
      <c r="F149" s="3">
        <v>45550</v>
      </c>
      <c r="G149" s="1">
        <f>MONTH(operations[[#This Row],[Date]])</f>
        <v>9</v>
      </c>
    </row>
    <row r="150" spans="1:7" x14ac:dyDescent="0.3">
      <c r="A150" s="2">
        <v>-102</v>
      </c>
      <c r="B150" s="1" t="s">
        <v>7</v>
      </c>
      <c r="C150" s="1" t="s">
        <v>8</v>
      </c>
      <c r="D150" s="1" t="s">
        <v>31</v>
      </c>
      <c r="E150" s="1" t="str">
        <f>_xlfn.XLOOKUP(operations[[#This Row],[Category]],name[Category], name[Type],"", 0, 1)</f>
        <v>Transfer</v>
      </c>
      <c r="F150" s="3">
        <v>45550</v>
      </c>
      <c r="G150" s="1">
        <f>MONTH(operations[[#This Row],[Date]])</f>
        <v>9</v>
      </c>
    </row>
    <row r="151" spans="1:7" x14ac:dyDescent="0.3">
      <c r="A151" s="2">
        <v>-18.5</v>
      </c>
      <c r="B151" s="1" t="s">
        <v>7</v>
      </c>
      <c r="C151" s="1" t="s">
        <v>8</v>
      </c>
      <c r="D151" s="1" t="s">
        <v>17</v>
      </c>
      <c r="E151" s="1" t="str">
        <f>_xlfn.XLOOKUP(operations[[#This Row],[Category]],name[Category], name[Type],"", 0, 1)</f>
        <v>Expense</v>
      </c>
      <c r="F151" s="3">
        <v>45553</v>
      </c>
      <c r="G151" s="1">
        <f>MONTH(operations[[#This Row],[Date]])</f>
        <v>9</v>
      </c>
    </row>
    <row r="152" spans="1:7" x14ac:dyDescent="0.3">
      <c r="A152" s="2">
        <v>-150</v>
      </c>
      <c r="B152" s="1" t="s">
        <v>7</v>
      </c>
      <c r="C152" s="1" t="s">
        <v>8</v>
      </c>
      <c r="D152" s="1" t="s">
        <v>16</v>
      </c>
      <c r="E152" s="1" t="str">
        <f>_xlfn.XLOOKUP(operations[[#This Row],[Category]],name[Category], name[Type],"", 0, 1)</f>
        <v>Expense</v>
      </c>
      <c r="F152" s="3">
        <v>45566</v>
      </c>
      <c r="G152" s="1">
        <f>MONTH(operations[[#This Row],[Date]])</f>
        <v>10</v>
      </c>
    </row>
    <row r="153" spans="1:7" x14ac:dyDescent="0.3">
      <c r="A153" s="2">
        <v>-40</v>
      </c>
      <c r="B153" s="1" t="s">
        <v>7</v>
      </c>
      <c r="C153" s="1" t="s">
        <v>8</v>
      </c>
      <c r="D153" s="1" t="s">
        <v>19</v>
      </c>
      <c r="E153" s="1" t="str">
        <f>_xlfn.XLOOKUP(operations[[#This Row],[Category]],name[Category], name[Type],"", 0, 1)</f>
        <v>Expense</v>
      </c>
      <c r="F153" s="3">
        <v>45572</v>
      </c>
      <c r="G153" s="1">
        <f>MONTH(operations[[#This Row],[Date]])</f>
        <v>10</v>
      </c>
    </row>
    <row r="154" spans="1:7" x14ac:dyDescent="0.3">
      <c r="A154" s="2">
        <v>-600</v>
      </c>
      <c r="B154" s="1" t="s">
        <v>7</v>
      </c>
      <c r="C154" s="1" t="s">
        <v>8</v>
      </c>
      <c r="D154" s="1" t="s">
        <v>17</v>
      </c>
      <c r="E154" s="1" t="str">
        <f>_xlfn.XLOOKUP(operations[[#This Row],[Category]],name[Category], name[Type],"", 0, 1)</f>
        <v>Expense</v>
      </c>
      <c r="F154" s="3">
        <v>45573</v>
      </c>
      <c r="G154" s="1">
        <f>MONTH(operations[[#This Row],[Date]])</f>
        <v>10</v>
      </c>
    </row>
    <row r="155" spans="1:7" x14ac:dyDescent="0.3">
      <c r="A155" s="2">
        <v>4500</v>
      </c>
      <c r="B155" s="1" t="s">
        <v>7</v>
      </c>
      <c r="C155" s="1" t="s">
        <v>8</v>
      </c>
      <c r="D155" s="1" t="s">
        <v>26</v>
      </c>
      <c r="E155" s="1" t="str">
        <f>_xlfn.XLOOKUP(operations[[#This Row],[Category]],name[Category], name[Type],"", 0, 1)</f>
        <v>Income</v>
      </c>
      <c r="F155" s="3">
        <v>45575</v>
      </c>
      <c r="G155" s="1">
        <f>MONTH(operations[[#This Row],[Date]])</f>
        <v>10</v>
      </c>
    </row>
    <row r="156" spans="1:7" x14ac:dyDescent="0.3">
      <c r="A156" s="2">
        <v>-40</v>
      </c>
      <c r="B156" s="1" t="s">
        <v>7</v>
      </c>
      <c r="C156" s="1" t="s">
        <v>9</v>
      </c>
      <c r="D156" s="1" t="s">
        <v>20</v>
      </c>
      <c r="E156" s="1" t="str">
        <f>_xlfn.XLOOKUP(operations[[#This Row],[Category]],name[Category], name[Type],"", 0, 1)</f>
        <v>Expense</v>
      </c>
      <c r="F156" s="3">
        <v>45576</v>
      </c>
      <c r="G156" s="1">
        <f>MONTH(operations[[#This Row],[Date]])</f>
        <v>10</v>
      </c>
    </row>
    <row r="157" spans="1:7" x14ac:dyDescent="0.3">
      <c r="A157" s="2">
        <v>-2000</v>
      </c>
      <c r="B157" s="1" t="s">
        <v>7</v>
      </c>
      <c r="C157" s="1" t="s">
        <v>8</v>
      </c>
      <c r="D157" s="1" t="s">
        <v>18</v>
      </c>
      <c r="E157" s="1" t="str">
        <f>_xlfn.XLOOKUP(operations[[#This Row],[Category]],name[Category], name[Type],"", 0, 1)</f>
        <v>Expense</v>
      </c>
      <c r="F157" s="3">
        <v>45576</v>
      </c>
      <c r="G157" s="1">
        <f>MONTH(operations[[#This Row],[Date]])</f>
        <v>10</v>
      </c>
    </row>
    <row r="158" spans="1:7" x14ac:dyDescent="0.3">
      <c r="A158" s="2">
        <v>20</v>
      </c>
      <c r="B158" s="1" t="s">
        <v>7</v>
      </c>
      <c r="C158" s="1" t="s">
        <v>9</v>
      </c>
      <c r="D158" s="1" t="s">
        <v>31</v>
      </c>
      <c r="E158" s="1" t="str">
        <f>_xlfn.XLOOKUP(operations[[#This Row],[Category]],name[Category], name[Type],"", 0, 1)</f>
        <v>Transfer</v>
      </c>
      <c r="F158" s="3">
        <v>45580</v>
      </c>
      <c r="G158" s="1">
        <f>MONTH(operations[[#This Row],[Date]])</f>
        <v>10</v>
      </c>
    </row>
    <row r="159" spans="1:7" x14ac:dyDescent="0.3">
      <c r="A159" s="2">
        <v>-20</v>
      </c>
      <c r="B159" s="1" t="s">
        <v>7</v>
      </c>
      <c r="C159" s="1" t="s">
        <v>8</v>
      </c>
      <c r="D159" s="1" t="s">
        <v>31</v>
      </c>
      <c r="E159" s="1" t="str">
        <f>_xlfn.XLOOKUP(operations[[#This Row],[Category]],name[Category], name[Type],"", 0, 1)</f>
        <v>Transfer</v>
      </c>
      <c r="F159" s="3">
        <v>45580</v>
      </c>
      <c r="G159" s="1">
        <f>MONTH(operations[[#This Row],[Date]])</f>
        <v>10</v>
      </c>
    </row>
    <row r="160" spans="1:7" x14ac:dyDescent="0.3">
      <c r="A160" s="2">
        <v>4500</v>
      </c>
      <c r="B160" s="1" t="s">
        <v>7</v>
      </c>
      <c r="C160" s="1" t="s">
        <v>8</v>
      </c>
      <c r="D160" s="1" t="s">
        <v>26</v>
      </c>
      <c r="E160" s="1" t="str">
        <f>_xlfn.XLOOKUP(operations[[#This Row],[Category]],name[Category], name[Type],"", 0, 1)</f>
        <v>Income</v>
      </c>
      <c r="F160" s="3">
        <v>45606</v>
      </c>
      <c r="G160" s="1">
        <f>MONTH(operations[[#This Row],[Date]])</f>
        <v>11</v>
      </c>
    </row>
    <row r="161" spans="1:7" x14ac:dyDescent="0.3">
      <c r="A161" s="2">
        <v>-2000</v>
      </c>
      <c r="B161" s="1" t="s">
        <v>7</v>
      </c>
      <c r="C161" s="1" t="s">
        <v>8</v>
      </c>
      <c r="D161" s="1" t="s">
        <v>18</v>
      </c>
      <c r="E161" s="1" t="str">
        <f>_xlfn.XLOOKUP(operations[[#This Row],[Category]],name[Category], name[Type],"", 0, 1)</f>
        <v>Expense</v>
      </c>
      <c r="F161" s="3">
        <v>45607</v>
      </c>
      <c r="G161" s="1">
        <f>MONTH(operations[[#This Row],[Date]])</f>
        <v>11</v>
      </c>
    </row>
    <row r="162" spans="1:7" x14ac:dyDescent="0.3">
      <c r="A162" s="2">
        <v>-82</v>
      </c>
      <c r="B162" s="1" t="s">
        <v>7</v>
      </c>
      <c r="C162" s="1" t="s">
        <v>8</v>
      </c>
      <c r="D162" s="1" t="s">
        <v>16</v>
      </c>
      <c r="E162" s="1" t="str">
        <f>_xlfn.XLOOKUP(operations[[#This Row],[Category]],name[Category], name[Type],"", 0, 1)</f>
        <v>Expense</v>
      </c>
      <c r="F162" s="3">
        <v>45607</v>
      </c>
      <c r="G162" s="1">
        <f>MONTH(operations[[#This Row],[Date]])</f>
        <v>11</v>
      </c>
    </row>
    <row r="163" spans="1:7" x14ac:dyDescent="0.3">
      <c r="A163" s="2">
        <v>-200</v>
      </c>
      <c r="B163" s="1" t="s">
        <v>7</v>
      </c>
      <c r="C163" s="1" t="s">
        <v>8</v>
      </c>
      <c r="D163" s="1" t="s">
        <v>17</v>
      </c>
      <c r="E163" s="1" t="str">
        <f>_xlfn.XLOOKUP(operations[[#This Row],[Category]],name[Category], name[Type],"", 0, 1)</f>
        <v>Expense</v>
      </c>
      <c r="F163" s="3">
        <v>45607</v>
      </c>
      <c r="G163" s="1">
        <f>MONTH(operations[[#This Row],[Date]])</f>
        <v>11</v>
      </c>
    </row>
    <row r="164" spans="1:7" x14ac:dyDescent="0.3">
      <c r="A164" s="2">
        <v>-12</v>
      </c>
      <c r="B164" s="1" t="s">
        <v>7</v>
      </c>
      <c r="C164" s="1" t="s">
        <v>8</v>
      </c>
      <c r="D164" s="1" t="s">
        <v>19</v>
      </c>
      <c r="E164" s="1" t="str">
        <f>_xlfn.XLOOKUP(operations[[#This Row],[Category]],name[Category], name[Type],"", 0, 1)</f>
        <v>Expense</v>
      </c>
      <c r="F164" s="3">
        <v>45608</v>
      </c>
      <c r="G164" s="1">
        <f>MONTH(operations[[#This Row],[Date]])</f>
        <v>11</v>
      </c>
    </row>
    <row r="165" spans="1:7" x14ac:dyDescent="0.3">
      <c r="A165" s="2">
        <v>-90</v>
      </c>
      <c r="B165" s="1" t="s">
        <v>7</v>
      </c>
      <c r="C165" s="1" t="s">
        <v>8</v>
      </c>
      <c r="D165" s="1" t="s">
        <v>20</v>
      </c>
      <c r="E165" s="1" t="str">
        <f>_xlfn.XLOOKUP(operations[[#This Row],[Category]],name[Category], name[Type],"", 0, 1)</f>
        <v>Expense</v>
      </c>
      <c r="F165" s="3">
        <v>45610</v>
      </c>
      <c r="G165" s="1">
        <f>MONTH(operations[[#This Row],[Date]])</f>
        <v>11</v>
      </c>
    </row>
    <row r="166" spans="1:7" x14ac:dyDescent="0.3">
      <c r="A166" s="2">
        <v>40</v>
      </c>
      <c r="B166" s="1" t="s">
        <v>7</v>
      </c>
      <c r="C166" s="1" t="s">
        <v>9</v>
      </c>
      <c r="D166" s="1" t="s">
        <v>31</v>
      </c>
      <c r="E166" s="1" t="str">
        <f>_xlfn.XLOOKUP(operations[[#This Row],[Category]],name[Category], name[Type],"", 0, 1)</f>
        <v>Transfer</v>
      </c>
      <c r="F166" s="3">
        <v>45611</v>
      </c>
      <c r="G166" s="1">
        <f>MONTH(operations[[#This Row],[Date]])</f>
        <v>11</v>
      </c>
    </row>
    <row r="167" spans="1:7" x14ac:dyDescent="0.3">
      <c r="A167" s="2">
        <v>-40</v>
      </c>
      <c r="B167" s="1" t="s">
        <v>7</v>
      </c>
      <c r="C167" s="1" t="s">
        <v>8</v>
      </c>
      <c r="D167" s="1" t="s">
        <v>31</v>
      </c>
      <c r="E167" s="1" t="str">
        <f>_xlfn.XLOOKUP(operations[[#This Row],[Category]],name[Category], name[Type],"", 0, 1)</f>
        <v>Transfer</v>
      </c>
      <c r="F167" s="3">
        <v>45611</v>
      </c>
      <c r="G167" s="1">
        <f>MONTH(operations[[#This Row],[Date]])</f>
        <v>11</v>
      </c>
    </row>
    <row r="168" spans="1:7" x14ac:dyDescent="0.3">
      <c r="A168" s="2">
        <v>-28</v>
      </c>
      <c r="B168" s="1" t="s">
        <v>7</v>
      </c>
      <c r="C168" s="1" t="s">
        <v>8</v>
      </c>
      <c r="D168" s="1" t="s">
        <v>17</v>
      </c>
      <c r="E168" s="1" t="str">
        <f>_xlfn.XLOOKUP(operations[[#This Row],[Category]],name[Category], name[Type],"", 0, 1)</f>
        <v>Expense</v>
      </c>
      <c r="F168" s="3">
        <v>45612</v>
      </c>
      <c r="G168" s="1">
        <f>MONTH(operations[[#This Row],[Date]])</f>
        <v>11</v>
      </c>
    </row>
    <row r="169" spans="1:7" x14ac:dyDescent="0.3">
      <c r="A169" s="2">
        <v>-63</v>
      </c>
      <c r="B169" s="1" t="s">
        <v>7</v>
      </c>
      <c r="C169" s="1" t="s">
        <v>8</v>
      </c>
      <c r="D169" s="1" t="s">
        <v>21</v>
      </c>
      <c r="E169" s="1" t="str">
        <f>_xlfn.XLOOKUP(operations[[#This Row],[Category]],name[Category], name[Type],"", 0, 1)</f>
        <v>Expense</v>
      </c>
      <c r="F169" s="3">
        <v>45613</v>
      </c>
      <c r="G169" s="1">
        <f>MONTH(operations[[#This Row],[Date]])</f>
        <v>11</v>
      </c>
    </row>
    <row r="170" spans="1:7" x14ac:dyDescent="0.3">
      <c r="A170" s="2">
        <v>-15</v>
      </c>
      <c r="B170" s="1" t="s">
        <v>7</v>
      </c>
      <c r="C170" s="1" t="s">
        <v>8</v>
      </c>
      <c r="D170" s="1" t="s">
        <v>16</v>
      </c>
      <c r="E170" s="1" t="str">
        <f>_xlfn.XLOOKUP(operations[[#This Row],[Category]],name[Category], name[Type],"", 0, 1)</f>
        <v>Expense</v>
      </c>
      <c r="F170" s="3">
        <v>45613</v>
      </c>
      <c r="G170" s="1">
        <f>MONTH(operations[[#This Row],[Date]])</f>
        <v>11</v>
      </c>
    </row>
    <row r="171" spans="1:7" x14ac:dyDescent="0.3">
      <c r="A171" s="2">
        <v>-44</v>
      </c>
      <c r="B171" s="1" t="s">
        <v>7</v>
      </c>
      <c r="C171" s="1" t="s">
        <v>8</v>
      </c>
      <c r="D171" s="1" t="s">
        <v>17</v>
      </c>
      <c r="E171" s="1" t="str">
        <f>_xlfn.XLOOKUP(operations[[#This Row],[Category]],name[Category], name[Type],"", 0, 1)</f>
        <v>Expense</v>
      </c>
      <c r="F171" s="3">
        <v>45615</v>
      </c>
      <c r="G171" s="1">
        <f>MONTH(operations[[#This Row],[Date]])</f>
        <v>11</v>
      </c>
    </row>
    <row r="172" spans="1:7" x14ac:dyDescent="0.3">
      <c r="A172" s="2">
        <v>-107</v>
      </c>
      <c r="B172" s="1" t="s">
        <v>7</v>
      </c>
      <c r="C172" s="1" t="s">
        <v>8</v>
      </c>
      <c r="D172" s="1" t="s">
        <v>22</v>
      </c>
      <c r="E172" s="1" t="str">
        <f>_xlfn.XLOOKUP(operations[[#This Row],[Category]],name[Category], name[Type],"", 0, 1)</f>
        <v>Expense</v>
      </c>
      <c r="F172" s="3">
        <v>45616</v>
      </c>
      <c r="G172" s="1">
        <f>MONTH(operations[[#This Row],[Date]])</f>
        <v>11</v>
      </c>
    </row>
    <row r="173" spans="1:7" x14ac:dyDescent="0.3">
      <c r="A173" s="2">
        <v>-169</v>
      </c>
      <c r="B173" s="1" t="s">
        <v>7</v>
      </c>
      <c r="C173" s="1" t="s">
        <v>8</v>
      </c>
      <c r="D173" s="1" t="s">
        <v>24</v>
      </c>
      <c r="E173" s="1" t="str">
        <f>_xlfn.XLOOKUP(operations[[#This Row],[Category]],name[Category], name[Type],"", 0, 1)</f>
        <v>Expense</v>
      </c>
      <c r="F173" s="3">
        <v>45617</v>
      </c>
      <c r="G173" s="1">
        <f>MONTH(operations[[#This Row],[Date]])</f>
        <v>11</v>
      </c>
    </row>
    <row r="174" spans="1:7" x14ac:dyDescent="0.3">
      <c r="A174" s="2">
        <v>-51</v>
      </c>
      <c r="B174" s="1" t="s">
        <v>7</v>
      </c>
      <c r="C174" s="1" t="s">
        <v>8</v>
      </c>
      <c r="D174" s="1" t="s">
        <v>22</v>
      </c>
      <c r="E174" s="1" t="str">
        <f>_xlfn.XLOOKUP(operations[[#This Row],[Category]],name[Category], name[Type],"", 0, 1)</f>
        <v>Expense</v>
      </c>
      <c r="F174" s="3">
        <v>45618</v>
      </c>
      <c r="G174" s="1">
        <f>MONTH(operations[[#This Row],[Date]])</f>
        <v>11</v>
      </c>
    </row>
    <row r="175" spans="1:7" x14ac:dyDescent="0.3">
      <c r="A175" s="2">
        <v>-80</v>
      </c>
      <c r="B175" s="1" t="s">
        <v>7</v>
      </c>
      <c r="C175" s="1" t="s">
        <v>8</v>
      </c>
      <c r="D175" s="1" t="s">
        <v>17</v>
      </c>
      <c r="E175" s="1" t="str">
        <f>_xlfn.XLOOKUP(operations[[#This Row],[Category]],name[Category], name[Type],"", 0, 1)</f>
        <v>Expense</v>
      </c>
      <c r="F175" s="3">
        <v>45618</v>
      </c>
      <c r="G175" s="1">
        <f>MONTH(operations[[#This Row],[Date]])</f>
        <v>11</v>
      </c>
    </row>
    <row r="176" spans="1:7" x14ac:dyDescent="0.3">
      <c r="A176" s="2">
        <v>-70</v>
      </c>
      <c r="B176" s="1" t="s">
        <v>7</v>
      </c>
      <c r="C176" s="1" t="s">
        <v>8</v>
      </c>
      <c r="D176" s="1" t="s">
        <v>21</v>
      </c>
      <c r="E176" s="1" t="str">
        <f>_xlfn.XLOOKUP(operations[[#This Row],[Category]],name[Category], name[Type],"", 0, 1)</f>
        <v>Expense</v>
      </c>
      <c r="F176" s="3">
        <v>45618</v>
      </c>
      <c r="G176" s="1">
        <f>MONTH(operations[[#This Row],[Date]])</f>
        <v>11</v>
      </c>
    </row>
    <row r="177" spans="1:7" x14ac:dyDescent="0.3">
      <c r="A177" s="2">
        <v>-35</v>
      </c>
      <c r="B177" s="1" t="s">
        <v>7</v>
      </c>
      <c r="C177" s="1" t="s">
        <v>8</v>
      </c>
      <c r="D177" s="1" t="s">
        <v>19</v>
      </c>
      <c r="E177" s="1" t="str">
        <f>_xlfn.XLOOKUP(operations[[#This Row],[Category]],name[Category], name[Type],"", 0, 1)</f>
        <v>Expense</v>
      </c>
      <c r="F177" s="3">
        <v>45619</v>
      </c>
      <c r="G177" s="1">
        <f>MONTH(operations[[#This Row],[Date]])</f>
        <v>11</v>
      </c>
    </row>
    <row r="178" spans="1:7" x14ac:dyDescent="0.3">
      <c r="A178" s="2">
        <v>-11</v>
      </c>
      <c r="B178" s="1" t="s">
        <v>7</v>
      </c>
      <c r="C178" s="1" t="s">
        <v>8</v>
      </c>
      <c r="D178" s="1" t="s">
        <v>16</v>
      </c>
      <c r="E178" s="1" t="str">
        <f>_xlfn.XLOOKUP(operations[[#This Row],[Category]],name[Category], name[Type],"", 0, 1)</f>
        <v>Expense</v>
      </c>
      <c r="F178" s="3">
        <v>45619</v>
      </c>
      <c r="G178" s="1">
        <f>MONTH(operations[[#This Row],[Date]])</f>
        <v>11</v>
      </c>
    </row>
    <row r="179" spans="1:7" x14ac:dyDescent="0.3">
      <c r="A179" s="2">
        <v>-80</v>
      </c>
      <c r="B179" s="1" t="s">
        <v>7</v>
      </c>
      <c r="C179" s="1" t="s">
        <v>8</v>
      </c>
      <c r="D179" s="1" t="s">
        <v>20</v>
      </c>
      <c r="E179" s="1" t="str">
        <f>_xlfn.XLOOKUP(operations[[#This Row],[Category]],name[Category], name[Type],"", 0, 1)</f>
        <v>Expense</v>
      </c>
      <c r="F179" s="3">
        <v>45621</v>
      </c>
      <c r="G179" s="1">
        <f>MONTH(operations[[#This Row],[Date]])</f>
        <v>11</v>
      </c>
    </row>
    <row r="180" spans="1:7" x14ac:dyDescent="0.3">
      <c r="A180" s="2">
        <v>-58</v>
      </c>
      <c r="B180" s="1" t="s">
        <v>7</v>
      </c>
      <c r="C180" s="1" t="s">
        <v>8</v>
      </c>
      <c r="D180" s="1" t="s">
        <v>17</v>
      </c>
      <c r="E180" s="1" t="str">
        <f>_xlfn.XLOOKUP(operations[[#This Row],[Category]],name[Category], name[Type],"", 0, 1)</f>
        <v>Expense</v>
      </c>
      <c r="F180" s="3">
        <v>45622</v>
      </c>
      <c r="G180" s="1">
        <f>MONTH(operations[[#This Row],[Date]])</f>
        <v>11</v>
      </c>
    </row>
    <row r="181" spans="1:7" x14ac:dyDescent="0.3">
      <c r="A181" s="2">
        <v>-52</v>
      </c>
      <c r="B181" s="1" t="s">
        <v>7</v>
      </c>
      <c r="C181" s="1" t="s">
        <v>8</v>
      </c>
      <c r="D181" s="1" t="s">
        <v>16</v>
      </c>
      <c r="E181" s="1" t="str">
        <f>_xlfn.XLOOKUP(operations[[#This Row],[Category]],name[Category], name[Type],"", 0, 1)</f>
        <v>Expense</v>
      </c>
      <c r="F181" s="3">
        <v>45623</v>
      </c>
      <c r="G181" s="1">
        <f>MONTH(operations[[#This Row],[Date]])</f>
        <v>11</v>
      </c>
    </row>
    <row r="182" spans="1:7" x14ac:dyDescent="0.3">
      <c r="A182" s="2">
        <v>-44</v>
      </c>
      <c r="B182" s="1" t="s">
        <v>7</v>
      </c>
      <c r="C182" s="1" t="s">
        <v>8</v>
      </c>
      <c r="D182" s="1" t="s">
        <v>20</v>
      </c>
      <c r="E182" s="1" t="str">
        <f>_xlfn.XLOOKUP(operations[[#This Row],[Category]],name[Category], name[Type],"", 0, 1)</f>
        <v>Expense</v>
      </c>
      <c r="F182" s="3">
        <v>45623</v>
      </c>
      <c r="G182" s="1">
        <f>MONTH(operations[[#This Row],[Date]])</f>
        <v>11</v>
      </c>
    </row>
    <row r="183" spans="1:7" x14ac:dyDescent="0.3">
      <c r="A183" s="2">
        <v>-48</v>
      </c>
      <c r="B183" s="1" t="s">
        <v>7</v>
      </c>
      <c r="C183" s="1" t="s">
        <v>8</v>
      </c>
      <c r="D183" s="1" t="s">
        <v>16</v>
      </c>
      <c r="E183" s="1" t="str">
        <f>_xlfn.XLOOKUP(operations[[#This Row],[Category]],name[Category], name[Type],"", 0, 1)</f>
        <v>Expense</v>
      </c>
      <c r="F183" s="3">
        <v>45623</v>
      </c>
      <c r="G183" s="1">
        <f>MONTH(operations[[#This Row],[Date]])</f>
        <v>11</v>
      </c>
    </row>
    <row r="184" spans="1:7" x14ac:dyDescent="0.3">
      <c r="A184" s="2">
        <v>-65</v>
      </c>
      <c r="B184" s="1" t="s">
        <v>7</v>
      </c>
      <c r="C184" s="1" t="s">
        <v>8</v>
      </c>
      <c r="D184" s="1" t="s">
        <v>24</v>
      </c>
      <c r="E184" s="1" t="str">
        <f>_xlfn.XLOOKUP(operations[[#This Row],[Category]],name[Category], name[Type],"", 0, 1)</f>
        <v>Expense</v>
      </c>
      <c r="F184" s="3">
        <v>45624</v>
      </c>
      <c r="G184" s="1">
        <f>MONTH(operations[[#This Row],[Date]])</f>
        <v>11</v>
      </c>
    </row>
    <row r="185" spans="1:7" x14ac:dyDescent="0.3">
      <c r="A185" s="2">
        <v>400</v>
      </c>
      <c r="B185" s="1" t="s">
        <v>13</v>
      </c>
      <c r="C185" s="1" t="s">
        <v>14</v>
      </c>
      <c r="D185" s="1" t="s">
        <v>29</v>
      </c>
      <c r="E185" s="1" t="str">
        <f>_xlfn.XLOOKUP(operations[[#This Row],[Category]],name[Category], name[Type],"", 0, 1)</f>
        <v>Income</v>
      </c>
      <c r="F185" s="3">
        <v>45625</v>
      </c>
      <c r="G185" s="1">
        <f>MONTH(operations[[#This Row],[Date]])</f>
        <v>11</v>
      </c>
    </row>
    <row r="186" spans="1:7" x14ac:dyDescent="0.3">
      <c r="A186" s="2">
        <v>-96</v>
      </c>
      <c r="B186" s="1" t="s">
        <v>7</v>
      </c>
      <c r="C186" s="1" t="s">
        <v>8</v>
      </c>
      <c r="D186" s="1" t="s">
        <v>17</v>
      </c>
      <c r="E186" s="1" t="str">
        <f>_xlfn.XLOOKUP(operations[[#This Row],[Category]],name[Category], name[Type],"", 0, 1)</f>
        <v>Expense</v>
      </c>
      <c r="F186" s="3">
        <v>45626</v>
      </c>
      <c r="G186" s="1">
        <f>MONTH(operations[[#This Row],[Date]])</f>
        <v>11</v>
      </c>
    </row>
    <row r="187" spans="1:7" x14ac:dyDescent="0.3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_xlfn.XLOOKUP(operations[[#This Row],[Category]],name[Category], name[Type],"", 0, 1)</f>
        <v>Expense</v>
      </c>
      <c r="F187" s="3">
        <v>45627</v>
      </c>
      <c r="G187" s="1">
        <f>MONTH(operations[[#This Row],[Date]])</f>
        <v>12</v>
      </c>
    </row>
    <row r="188" spans="1:7" x14ac:dyDescent="0.3">
      <c r="A188" s="2">
        <v>-50</v>
      </c>
      <c r="B188" s="1" t="s">
        <v>7</v>
      </c>
      <c r="C188" s="1" t="s">
        <v>8</v>
      </c>
      <c r="D188" s="1" t="s">
        <v>17</v>
      </c>
      <c r="E188" s="1" t="str">
        <f>_xlfn.XLOOKUP(operations[[#This Row],[Category]],name[Category], name[Type],"", 0, 1)</f>
        <v>Expense</v>
      </c>
      <c r="F188" s="3">
        <v>45627</v>
      </c>
      <c r="G188" s="1">
        <f>MONTH(operations[[#This Row],[Date]])</f>
        <v>12</v>
      </c>
    </row>
    <row r="189" spans="1:7" x14ac:dyDescent="0.3">
      <c r="A189" s="2">
        <v>-5</v>
      </c>
      <c r="B189" s="1" t="s">
        <v>7</v>
      </c>
      <c r="C189" s="1" t="s">
        <v>8</v>
      </c>
      <c r="D189" s="1" t="s">
        <v>21</v>
      </c>
      <c r="E189" s="1" t="str">
        <f>_xlfn.XLOOKUP(operations[[#This Row],[Category]],name[Category], name[Type],"", 0, 1)</f>
        <v>Expense</v>
      </c>
      <c r="F189" s="3">
        <v>45628</v>
      </c>
      <c r="G189" s="1">
        <f>MONTH(operations[[#This Row],[Date]])</f>
        <v>12</v>
      </c>
    </row>
    <row r="190" spans="1:7" x14ac:dyDescent="0.3">
      <c r="A190" s="2">
        <v>-100</v>
      </c>
      <c r="B190" s="1" t="s">
        <v>7</v>
      </c>
      <c r="C190" s="1" t="s">
        <v>8</v>
      </c>
      <c r="D190" s="1" t="s">
        <v>24</v>
      </c>
      <c r="E190" s="1" t="str">
        <f>_xlfn.XLOOKUP(operations[[#This Row],[Category]],name[Category], name[Type],"", 0, 1)</f>
        <v>Expense</v>
      </c>
      <c r="F190" s="3">
        <v>45628</v>
      </c>
      <c r="G190" s="1">
        <f>MONTH(operations[[#This Row],[Date]])</f>
        <v>12</v>
      </c>
    </row>
    <row r="191" spans="1:7" x14ac:dyDescent="0.3">
      <c r="A191" s="2">
        <v>-60</v>
      </c>
      <c r="B191" s="1" t="s">
        <v>7</v>
      </c>
      <c r="C191" s="1" t="s">
        <v>8</v>
      </c>
      <c r="D191" s="1" t="s">
        <v>22</v>
      </c>
      <c r="E191" s="1" t="str">
        <f>_xlfn.XLOOKUP(operations[[#This Row],[Category]],name[Category], name[Type],"", 0, 1)</f>
        <v>Expense</v>
      </c>
      <c r="F191" s="3">
        <v>45628</v>
      </c>
      <c r="G191" s="1">
        <f>MONTH(operations[[#This Row],[Date]])</f>
        <v>12</v>
      </c>
    </row>
    <row r="192" spans="1:7" x14ac:dyDescent="0.3">
      <c r="A192" s="2">
        <v>-5</v>
      </c>
      <c r="B192" s="1" t="s">
        <v>7</v>
      </c>
      <c r="C192" s="1" t="s">
        <v>8</v>
      </c>
      <c r="D192" s="1" t="s">
        <v>21</v>
      </c>
      <c r="E192" s="1" t="str">
        <f>_xlfn.XLOOKUP(operations[[#This Row],[Category]],name[Category], name[Type],"", 0, 1)</f>
        <v>Expense</v>
      </c>
      <c r="F192" s="3">
        <v>45628</v>
      </c>
      <c r="G192" s="1">
        <f>MONTH(operations[[#This Row],[Date]])</f>
        <v>12</v>
      </c>
    </row>
    <row r="193" spans="1:7" x14ac:dyDescent="0.3">
      <c r="A193" s="2">
        <v>-100</v>
      </c>
      <c r="B193" s="1" t="s">
        <v>7</v>
      </c>
      <c r="C193" s="1" t="s">
        <v>8</v>
      </c>
      <c r="D193" s="1" t="s">
        <v>24</v>
      </c>
      <c r="E193" s="1" t="str">
        <f>_xlfn.XLOOKUP(operations[[#This Row],[Category]],name[Category], name[Type],"", 0, 1)</f>
        <v>Expense</v>
      </c>
      <c r="F193" s="3">
        <v>45628</v>
      </c>
      <c r="G193" s="1">
        <f>MONTH(operations[[#This Row],[Date]])</f>
        <v>12</v>
      </c>
    </row>
    <row r="194" spans="1:7" x14ac:dyDescent="0.3">
      <c r="A194" s="2">
        <v>-60</v>
      </c>
      <c r="B194" s="1" t="s">
        <v>7</v>
      </c>
      <c r="C194" s="1" t="s">
        <v>8</v>
      </c>
      <c r="D194" s="1" t="s">
        <v>22</v>
      </c>
      <c r="E194" s="1" t="str">
        <f>_xlfn.XLOOKUP(operations[[#This Row],[Category]],name[Category], name[Type],"", 0, 1)</f>
        <v>Expense</v>
      </c>
      <c r="F194" s="3">
        <v>45628</v>
      </c>
      <c r="G194" s="1">
        <f>MONTH(operations[[#This Row],[Date]])</f>
        <v>12</v>
      </c>
    </row>
    <row r="195" spans="1:7" x14ac:dyDescent="0.3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Row],[Category]],name[Category], name[Type],"", 0, 1)</f>
        <v>Expense</v>
      </c>
      <c r="F195" s="3">
        <v>45629</v>
      </c>
      <c r="G195" s="1">
        <f>MONTH(operations[[#This Row],[Date]])</f>
        <v>12</v>
      </c>
    </row>
    <row r="196" spans="1:7" x14ac:dyDescent="0.3">
      <c r="A196" s="2">
        <v>-150</v>
      </c>
      <c r="B196" s="1" t="s">
        <v>7</v>
      </c>
      <c r="C196" s="1" t="s">
        <v>8</v>
      </c>
      <c r="D196" s="1" t="s">
        <v>20</v>
      </c>
      <c r="E196" s="1" t="str">
        <f>_xlfn.XLOOKUP(operations[[#This Row],[Category]],name[Category], name[Type],"", 0, 1)</f>
        <v>Expense</v>
      </c>
      <c r="F196" s="3">
        <v>45629</v>
      </c>
      <c r="G196" s="1">
        <f>MONTH(operations[[#This Row],[Date]])</f>
        <v>12</v>
      </c>
    </row>
    <row r="197" spans="1:7" x14ac:dyDescent="0.3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_xlfn.XLOOKUP(operations[[#This Row],[Category]],name[Category], name[Type],"", 0, 1)</f>
        <v>Expense</v>
      </c>
      <c r="F197" s="3">
        <v>45632</v>
      </c>
      <c r="G197" s="1">
        <f>MONTH(operations[[#This Row],[Date]])</f>
        <v>12</v>
      </c>
    </row>
    <row r="198" spans="1:7" x14ac:dyDescent="0.3">
      <c r="A198" s="2">
        <v>-100</v>
      </c>
      <c r="B198" s="1" t="s">
        <v>7</v>
      </c>
      <c r="C198" s="1" t="s">
        <v>8</v>
      </c>
      <c r="D198" s="1" t="s">
        <v>17</v>
      </c>
      <c r="E198" s="1" t="str">
        <f>_xlfn.XLOOKUP(operations[[#This Row],[Category]],name[Category], name[Type],"", 0, 1)</f>
        <v>Expense</v>
      </c>
      <c r="F198" s="3">
        <v>45632</v>
      </c>
      <c r="G198" s="1">
        <f>MONTH(operations[[#This Row],[Date]])</f>
        <v>12</v>
      </c>
    </row>
    <row r="199" spans="1:7" x14ac:dyDescent="0.3">
      <c r="A199" s="2">
        <v>4500</v>
      </c>
      <c r="B199" s="1" t="s">
        <v>7</v>
      </c>
      <c r="C199" s="1" t="s">
        <v>8</v>
      </c>
      <c r="D199" s="1" t="s">
        <v>26</v>
      </c>
      <c r="E199" s="1" t="str">
        <f>_xlfn.XLOOKUP(operations[[#This Row],[Category]],name[Category], name[Type],"", 0, 1)</f>
        <v>Income</v>
      </c>
      <c r="F199" s="3">
        <v>45636</v>
      </c>
      <c r="G199" s="1">
        <f>MONTH(operations[[#This Row],[Date]])</f>
        <v>12</v>
      </c>
    </row>
    <row r="200" spans="1:7" x14ac:dyDescent="0.3">
      <c r="A200" s="2">
        <v>-2000</v>
      </c>
      <c r="B200" s="1" t="s">
        <v>7</v>
      </c>
      <c r="C200" s="1" t="s">
        <v>8</v>
      </c>
      <c r="D200" s="1" t="s">
        <v>18</v>
      </c>
      <c r="E200" s="1" t="str">
        <f>_xlfn.XLOOKUP(operations[[#This Row],[Category]],name[Category], name[Type],"", 0, 1)</f>
        <v>Expense</v>
      </c>
      <c r="F200" s="3">
        <v>45637</v>
      </c>
      <c r="G200" s="1">
        <f>MONTH(operations[[#This Row],[Date]])</f>
        <v>12</v>
      </c>
    </row>
    <row r="201" spans="1:7" x14ac:dyDescent="0.3">
      <c r="A201" s="2">
        <v>-50</v>
      </c>
      <c r="B201" s="1" t="s">
        <v>7</v>
      </c>
      <c r="C201" s="1" t="s">
        <v>8</v>
      </c>
      <c r="D201" s="1" t="s">
        <v>20</v>
      </c>
      <c r="E201" s="1" t="str">
        <f>_xlfn.XLOOKUP(operations[[#This Row],[Category]],name[Category], name[Type],"", 0, 1)</f>
        <v>Expense</v>
      </c>
      <c r="F201" s="3">
        <v>45640</v>
      </c>
      <c r="G201" s="1">
        <f>MONTH(operations[[#This Row],[Date]])</f>
        <v>12</v>
      </c>
    </row>
    <row r="202" spans="1:7" x14ac:dyDescent="0.3">
      <c r="A202" s="2">
        <v>-100</v>
      </c>
      <c r="B202" s="1" t="s">
        <v>7</v>
      </c>
      <c r="C202" s="1" t="s">
        <v>8</v>
      </c>
      <c r="D202" s="1" t="s">
        <v>23</v>
      </c>
      <c r="E202" s="1" t="str">
        <f>_xlfn.XLOOKUP(operations[[#This Row],[Category]],name[Category], name[Type],"", 0, 1)</f>
        <v>Expense</v>
      </c>
      <c r="F202" s="3">
        <v>45641</v>
      </c>
      <c r="G202" s="1">
        <f>MONTH(operations[[#This Row],[Date]])</f>
        <v>12</v>
      </c>
    </row>
    <row r="203" spans="1:7" x14ac:dyDescent="0.3">
      <c r="A203" s="2">
        <v>-100</v>
      </c>
      <c r="B203" s="1" t="s">
        <v>7</v>
      </c>
      <c r="C203" s="1" t="s">
        <v>8</v>
      </c>
      <c r="D203" s="1" t="s">
        <v>17</v>
      </c>
      <c r="E203" s="1" t="str">
        <f>_xlfn.XLOOKUP(operations[[#This Row],[Category]],name[Category], name[Type],"", 0, 1)</f>
        <v>Expense</v>
      </c>
      <c r="F203" s="3">
        <v>45644</v>
      </c>
      <c r="G203" s="1">
        <f>MONTH(operations[[#This Row],[Date]])</f>
        <v>12</v>
      </c>
    </row>
    <row r="204" spans="1:7" x14ac:dyDescent="0.3">
      <c r="A204" s="2">
        <v>500</v>
      </c>
      <c r="B204" s="1" t="s">
        <v>13</v>
      </c>
      <c r="C204" s="1" t="s">
        <v>14</v>
      </c>
      <c r="D204" s="1" t="s">
        <v>29</v>
      </c>
      <c r="E204" s="1" t="str">
        <f>_xlfn.XLOOKUP(operations[[#This Row],[Category]],name[Category], name[Type],"", 0, 1)</f>
        <v>Income</v>
      </c>
      <c r="F204" s="3">
        <v>45648</v>
      </c>
      <c r="G204" s="1">
        <f>MONTH(operations[[#This Row],[Date]])</f>
        <v>12</v>
      </c>
    </row>
    <row r="205" spans="1:7" x14ac:dyDescent="0.3">
      <c r="A205" s="2">
        <v>-100</v>
      </c>
      <c r="B205" s="1" t="s">
        <v>13</v>
      </c>
      <c r="C205" s="1" t="s">
        <v>14</v>
      </c>
      <c r="D205" s="1" t="s">
        <v>20</v>
      </c>
      <c r="E205" s="1" t="str">
        <f>_xlfn.XLOOKUP(operations[[#This Row],[Category]],name[Category], name[Type],"", 0, 1)</f>
        <v>Expense</v>
      </c>
      <c r="F205" s="3">
        <v>45649</v>
      </c>
      <c r="G205" s="1">
        <f>MONTH(operations[[#This Row],[Date]])</f>
        <v>12</v>
      </c>
    </row>
    <row r="206" spans="1:7" x14ac:dyDescent="0.3">
      <c r="A206" s="2">
        <v>1500</v>
      </c>
      <c r="B206" s="1" t="s">
        <v>13</v>
      </c>
      <c r="C206" s="1" t="s">
        <v>14</v>
      </c>
      <c r="D206" s="1" t="s">
        <v>29</v>
      </c>
      <c r="E206" s="1" t="str">
        <f>_xlfn.XLOOKUP(operations[[#This Row],[Category]],name[Category], name[Type],"", 0, 1)</f>
        <v>Income</v>
      </c>
      <c r="F206" s="3">
        <v>45650</v>
      </c>
      <c r="G206" s="1">
        <f>MONTH(operations[[#This Row],[Date]])</f>
        <v>12</v>
      </c>
    </row>
    <row r="207" spans="1:7" x14ac:dyDescent="0.3">
      <c r="A207" s="2">
        <v>-500</v>
      </c>
      <c r="B207" s="1" t="s">
        <v>13</v>
      </c>
      <c r="C207" s="1" t="s">
        <v>14</v>
      </c>
      <c r="D207" s="1" t="s">
        <v>24</v>
      </c>
      <c r="E207" s="1" t="str">
        <f>_xlfn.XLOOKUP(operations[[#This Row],[Category]],name[Category], name[Type],"", 0, 1)</f>
        <v>Expense</v>
      </c>
      <c r="F207" s="3">
        <v>45654</v>
      </c>
      <c r="G207" s="1">
        <f>MONTH(operations[[#This Row],[Date]])</f>
        <v>12</v>
      </c>
    </row>
    <row r="208" spans="1:7" x14ac:dyDescent="0.3">
      <c r="A208" s="2">
        <v>-300</v>
      </c>
      <c r="B208" s="1" t="s">
        <v>13</v>
      </c>
      <c r="C208" s="1" t="s">
        <v>14</v>
      </c>
      <c r="D208" s="1" t="s">
        <v>17</v>
      </c>
      <c r="E208" s="1" t="str">
        <f>_xlfn.XLOOKUP(operations[[#This Row],[Category]],name[Category], name[Type],"", 0, 1)</f>
        <v>Expense</v>
      </c>
      <c r="F208" s="3">
        <v>45656</v>
      </c>
      <c r="G208" s="1">
        <f>MONTH(operations[[#This Row],[Date]])</f>
        <v>12</v>
      </c>
    </row>
    <row r="209" spans="1:1" x14ac:dyDescent="0.3">
      <c r="A209" s="20"/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7683A1-3E61-4991-AE88-659C1491DAE2}">
          <x14:formula1>
            <xm:f>Dictionary!$G$1:$I$1</xm:f>
          </x14:formula1>
          <xm:sqref>B2:B1048576</xm:sqref>
        </x14:dataValidation>
        <x14:dataValidation type="list" allowBlank="1" showInputMessage="1" showErrorMessage="1" xr:uid="{674888B9-1F7C-463E-8298-CCD7F825A0CA}">
          <x14:formula1>
            <xm:f>CHOOSE(MATCH(B2,Dictionary!$G$1:$I$1,0),_xlfn._TRO_TRAILING(Dictionary!$G$2:$G$8),_xlfn._TRO_TRAILING(Dictionary!$H$2:$H$8),_xlfn._TRO_TRAILING(Dictionary!$I$2:$I$8))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D02D-CE34-4759-B201-9DDF00405DBD}">
  <dimension ref="A1:O18"/>
  <sheetViews>
    <sheetView workbookViewId="0">
      <selection activeCell="C20" sqref="C20"/>
    </sheetView>
  </sheetViews>
  <sheetFormatPr defaultRowHeight="14.4" x14ac:dyDescent="0.3"/>
  <cols>
    <col min="1" max="1" width="19.33203125" customWidth="1"/>
    <col min="2" max="2" width="19.5546875" customWidth="1"/>
    <col min="3" max="5" width="10.88671875" bestFit="1" customWidth="1"/>
    <col min="6" max="6" width="16" customWidth="1"/>
    <col min="7" max="7" width="14.33203125" customWidth="1"/>
    <col min="8" max="8" width="12.109375" customWidth="1"/>
    <col min="9" max="9" width="16.88671875" customWidth="1"/>
    <col min="10" max="10" width="15.88671875" customWidth="1"/>
    <col min="11" max="11" width="15" customWidth="1"/>
    <col min="12" max="12" width="11.6640625" customWidth="1"/>
    <col min="13" max="13" width="13.6640625" customWidth="1"/>
    <col min="14" max="14" width="14.44140625" customWidth="1"/>
    <col min="15" max="15" width="11.88671875" bestFit="1" customWidth="1"/>
  </cols>
  <sheetData>
    <row r="1" spans="1:15" x14ac:dyDescent="0.3">
      <c r="A1" s="24" t="s">
        <v>3</v>
      </c>
      <c r="B1" s="21" t="s">
        <v>4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34</v>
      </c>
    </row>
    <row r="2" spans="1:15" x14ac:dyDescent="0.3">
      <c r="A2" s="25" t="s">
        <v>18</v>
      </c>
      <c r="B2" s="22" t="s">
        <v>32</v>
      </c>
      <c r="C2" s="4" cm="1">
        <f t="array" ref="C2">SUMIFS(operations[[Amount]:[Amount]], operations[[Category]:[Category]], Table9[[#This Row],[Category]:[Category]], operations[[Month]:[Month]], Table9[[#Headers],[1]])</f>
        <v>-2000</v>
      </c>
      <c r="D2" s="4" cm="1">
        <f t="array" ref="D2">SUMIFS(operations[[Amount]:[Amount]], operations[[Category]:[Category]], Table9[[#This Row],[Category]:[Category]], operations[[Month]:[Month]], Table9[[#Headers],[2]])</f>
        <v>-2000</v>
      </c>
      <c r="E2" s="4" cm="1">
        <f t="array" ref="E2">SUMIFS(operations[[Amount]:[Amount]], operations[[Category]:[Category]], Table9[[#This Row],[Category]:[Category]], operations[[Month]:[Month]], Table9[[#Headers],[3]])</f>
        <v>-2000</v>
      </c>
      <c r="F2" s="4" cm="1">
        <f t="array" ref="F2">SUMIFS(operations[[Amount]:[Amount]], operations[[Category]:[Category]], Table9[[#This Row],[Category]:[Category]], operations[[Month]:[Month]], Table9[[#Headers],[4]])</f>
        <v>-2000</v>
      </c>
      <c r="G2" s="4" cm="1">
        <f t="array" ref="G2">SUMIFS(operations[[Amount]:[Amount]], operations[[Category]:[Category]], Table9[[#This Row],[Category]:[Category]], operations[[Month]:[Month]], Table9[[#Headers],[5]])</f>
        <v>-2000</v>
      </c>
      <c r="H2" s="4" cm="1">
        <f t="array" ref="H2">SUMIFS(operations[[Amount]:[Amount]], operations[[Category]:[Category]], Table9[[#This Row],[Category]:[Category]], operations[[Month]:[Month]], Table9[[#Headers],[6]])</f>
        <v>-2000</v>
      </c>
      <c r="I2" s="4" cm="1">
        <f t="array" ref="I2">SUMIFS(operations[[Amount]:[Amount]], operations[[Category]:[Category]], Table9[[#This Row],[Category]:[Category]], operations[[Month]:[Month]], Table9[[#Headers],[7]])</f>
        <v>-2000</v>
      </c>
      <c r="J2" s="4" cm="1">
        <f t="array" ref="J2">SUMIFS(operations[[Amount]:[Amount]], operations[[Category]:[Category]], Table9[[#This Row],[Category]:[Category]], operations[[Month]:[Month]], Table9[[#Headers],[8]])</f>
        <v>-2000</v>
      </c>
      <c r="K2" s="4" cm="1">
        <f t="array" ref="K2">SUMIFS(operations[[Amount]:[Amount]], operations[[Category]:[Category]], Table9[[#This Row],[Category]:[Category]], operations[[Month]:[Month]], Table9[[#Headers],[9]])</f>
        <v>-2000</v>
      </c>
      <c r="L2" s="4" cm="1">
        <f t="array" ref="L2">SUMIFS(operations[[Amount]:[Amount]], operations[[Category]:[Category]], Table9[[#This Row],[Category]:[Category]], operations[[Month]:[Month]], Table9[[#Headers],[10]])</f>
        <v>-2000</v>
      </c>
      <c r="M2" s="4" cm="1">
        <f t="array" ref="M2">SUMIFS(operations[[Amount]:[Amount]], operations[[Category]:[Category]], Table9[[#This Row],[Category]:[Category]], operations[[Month]:[Month]], Table9[[#Headers],[11]])</f>
        <v>-2000</v>
      </c>
      <c r="N2" s="4" cm="1">
        <f t="array" ref="N2">SUMIFS(operations[[Amount]:[Amount]], operations[[Category]:[Category]], Table9[[#This Row],[Category]:[Category]], operations[[Month]:[Month]], Table9[[#Headers],[12]])</f>
        <v>-2000</v>
      </c>
      <c r="O2" s="4">
        <f>SUM(Table9[[#This Row],[1]:[12]])</f>
        <v>-24000</v>
      </c>
    </row>
    <row r="3" spans="1:15" x14ac:dyDescent="0.3">
      <c r="A3" s="25" t="s">
        <v>25</v>
      </c>
      <c r="B3" s="22" t="s">
        <v>33</v>
      </c>
      <c r="C3" s="4" cm="1">
        <f t="array" ref="C3">SUMIFS(operations[[Amount]:[Amount]], operations[[Category]:[Category]], Table9[[#This Row],[Category]:[Category]], operations[[Month]:[Month]], Table9[[#Headers],[1]])</f>
        <v>250</v>
      </c>
      <c r="D3" s="4" cm="1">
        <f t="array" ref="D3">SUMIFS(operations[[Amount]:[Amount]], operations[[Category]:[Category]], Table9[[#This Row],[Category]:[Category]], operations[[Month]:[Month]], Table9[[#Headers],[2]])</f>
        <v>0</v>
      </c>
      <c r="E3" s="4" cm="1">
        <f t="array" ref="E3">SUMIFS(operations[[Amount]:[Amount]], operations[[Category]:[Category]], Table9[[#This Row],[Category]:[Category]], operations[[Month]:[Month]], Table9[[#Headers],[3]])</f>
        <v>0</v>
      </c>
      <c r="F3" s="4" cm="1">
        <f t="array" ref="F3">SUMIFS(operations[[Amount]:[Amount]], operations[[Category]:[Category]], Table9[[#This Row],[Category]:[Category]], operations[[Month]:[Month]], Table9[[#Headers],[4]])</f>
        <v>0</v>
      </c>
      <c r="G3" s="4" cm="1">
        <f t="array" ref="G3">SUMIFS(operations[[Amount]:[Amount]], operations[[Category]:[Category]], Table9[[#This Row],[Category]:[Category]], operations[[Month]:[Month]], Table9[[#Headers],[5]])</f>
        <v>0</v>
      </c>
      <c r="H3" s="4" cm="1">
        <f t="array" ref="H3">SUMIFS(operations[[Amount]:[Amount]], operations[[Category]:[Category]], Table9[[#This Row],[Category]:[Category]], operations[[Month]:[Month]], Table9[[#Headers],[6]])</f>
        <v>400</v>
      </c>
      <c r="I3" s="4" cm="1">
        <f t="array" ref="I3">SUMIFS(operations[[Amount]:[Amount]], operations[[Category]:[Category]], Table9[[#This Row],[Category]:[Category]], operations[[Month]:[Month]], Table9[[#Headers],[7]])</f>
        <v>0</v>
      </c>
      <c r="J3" s="4" cm="1">
        <f t="array" ref="J3">SUMIFS(operations[[Amount]:[Amount]], operations[[Category]:[Category]], Table9[[#This Row],[Category]:[Category]], operations[[Month]:[Month]], Table9[[#Headers],[8]])</f>
        <v>0</v>
      </c>
      <c r="K3" s="4" cm="1">
        <f t="array" ref="K3">SUMIFS(operations[[Amount]:[Amount]], operations[[Category]:[Category]], Table9[[#This Row],[Category]:[Category]], operations[[Month]:[Month]], Table9[[#Headers],[9]])</f>
        <v>0</v>
      </c>
      <c r="L3" s="4" cm="1">
        <f t="array" ref="L3">SUMIFS(operations[[Amount]:[Amount]], operations[[Category]:[Category]], Table9[[#This Row],[Category]:[Category]], operations[[Month]:[Month]], Table9[[#Headers],[10]])</f>
        <v>0</v>
      </c>
      <c r="M3" s="4" cm="1">
        <f t="array" ref="M3">SUMIFS(operations[[Amount]:[Amount]], operations[[Category]:[Category]], Table9[[#This Row],[Category]:[Category]], operations[[Month]:[Month]], Table9[[#Headers],[11]])</f>
        <v>0</v>
      </c>
      <c r="N3" s="4" cm="1">
        <f t="array" ref="N3">SUMIFS(operations[[Amount]:[Amount]], operations[[Category]:[Category]], Table9[[#This Row],[Category]:[Category]], operations[[Month]:[Month]], Table9[[#Headers],[12]])</f>
        <v>0</v>
      </c>
      <c r="O3" s="4">
        <f>SUM(Table9[[#This Row],[1]:[12]])</f>
        <v>650</v>
      </c>
    </row>
    <row r="4" spans="1:15" x14ac:dyDescent="0.3">
      <c r="A4" s="25" t="s">
        <v>22</v>
      </c>
      <c r="B4" s="22" t="s">
        <v>32</v>
      </c>
      <c r="C4" s="4" cm="1">
        <f t="array" ref="C4">SUMIFS(operations[[Amount]:[Amount]], operations[[Category]:[Category]], Table9[[#This Row],[Category]:[Category]], operations[[Month]:[Month]], Table9[[#Headers],[1]])</f>
        <v>-80</v>
      </c>
      <c r="D4" s="4" cm="1">
        <f t="array" ref="D4">SUMIFS(operations[[Amount]:[Amount]], operations[[Category]:[Category]], Table9[[#This Row],[Category]:[Category]], operations[[Month]:[Month]], Table9[[#Headers],[2]])</f>
        <v>0</v>
      </c>
      <c r="E4" s="4" cm="1">
        <f t="array" ref="E4">SUMIFS(operations[[Amount]:[Amount]], operations[[Category]:[Category]], Table9[[#This Row],[Category]:[Category]], operations[[Month]:[Month]], Table9[[#Headers],[3]])</f>
        <v>-469.9</v>
      </c>
      <c r="F4" s="4" cm="1">
        <f t="array" ref="F4">SUMIFS(operations[[Amount]:[Amount]], operations[[Category]:[Category]], Table9[[#This Row],[Category]:[Category]], operations[[Month]:[Month]], Table9[[#Headers],[4]])</f>
        <v>-149</v>
      </c>
      <c r="G4" s="4" cm="1">
        <f t="array" ref="G4">SUMIFS(operations[[Amount]:[Amount]], operations[[Category]:[Category]], Table9[[#This Row],[Category]:[Category]], operations[[Month]:[Month]], Table9[[#Headers],[5]])</f>
        <v>0</v>
      </c>
      <c r="H4" s="4" cm="1">
        <f t="array" ref="H4">SUMIFS(operations[[Amount]:[Amount]], operations[[Category]:[Category]], Table9[[#This Row],[Category]:[Category]], operations[[Month]:[Month]], Table9[[#Headers],[6]])</f>
        <v>-300</v>
      </c>
      <c r="I4" s="4" cm="1">
        <f t="array" ref="I4">SUMIFS(operations[[Amount]:[Amount]], operations[[Category]:[Category]], Table9[[#This Row],[Category]:[Category]], operations[[Month]:[Month]], Table9[[#Headers],[7]])</f>
        <v>250</v>
      </c>
      <c r="J4" s="4" cm="1">
        <f t="array" ref="J4">SUMIFS(operations[[Amount]:[Amount]], operations[[Category]:[Category]], Table9[[#This Row],[Category]:[Category]], operations[[Month]:[Month]], Table9[[#Headers],[8]])</f>
        <v>-300</v>
      </c>
      <c r="K4" s="4" cm="1">
        <f t="array" ref="K4">SUMIFS(operations[[Amount]:[Amount]], operations[[Category]:[Category]], Table9[[#This Row],[Category]:[Category]], operations[[Month]:[Month]], Table9[[#Headers],[9]])</f>
        <v>0</v>
      </c>
      <c r="L4" s="4" cm="1">
        <f t="array" ref="L4">SUMIFS(operations[[Amount]:[Amount]], operations[[Category]:[Category]], Table9[[#This Row],[Category]:[Category]], operations[[Month]:[Month]], Table9[[#Headers],[10]])</f>
        <v>0</v>
      </c>
      <c r="M4" s="4" cm="1">
        <f t="array" ref="M4">SUMIFS(operations[[Amount]:[Amount]], operations[[Category]:[Category]], Table9[[#This Row],[Category]:[Category]], operations[[Month]:[Month]], Table9[[#Headers],[11]])</f>
        <v>-158</v>
      </c>
      <c r="N4" s="4" cm="1">
        <f t="array" ref="N4">SUMIFS(operations[[Amount]:[Amount]], operations[[Category]:[Category]], Table9[[#This Row],[Category]:[Category]], operations[[Month]:[Month]], Table9[[#Headers],[12]])</f>
        <v>-120</v>
      </c>
      <c r="O4" s="4">
        <f>SUM(Table9[[#This Row],[1]:[12]])</f>
        <v>-1326.9</v>
      </c>
    </row>
    <row r="5" spans="1:15" x14ac:dyDescent="0.3">
      <c r="A5" s="25" t="s">
        <v>20</v>
      </c>
      <c r="B5" s="22" t="s">
        <v>32</v>
      </c>
      <c r="C5" s="4" cm="1">
        <f t="array" ref="C5">SUMIFS(operations[[Amount]:[Amount]], operations[[Category]:[Category]], Table9[[#This Row],[Category]:[Category]], operations[[Month]:[Month]], Table9[[#Headers],[1]])</f>
        <v>-85</v>
      </c>
      <c r="D5" s="4" cm="1">
        <f t="array" ref="D5">SUMIFS(operations[[Amount]:[Amount]], operations[[Category]:[Category]], Table9[[#This Row],[Category]:[Category]], operations[[Month]:[Month]], Table9[[#Headers],[2]])</f>
        <v>-350</v>
      </c>
      <c r="E5" s="4" cm="1">
        <f t="array" ref="E5">SUMIFS(operations[[Amount]:[Amount]], operations[[Category]:[Category]], Table9[[#This Row],[Category]:[Category]], operations[[Month]:[Month]], Table9[[#Headers],[3]])</f>
        <v>-200</v>
      </c>
      <c r="F5" s="4" cm="1">
        <f t="array" ref="F5">SUMIFS(operations[[Amount]:[Amount]], operations[[Category]:[Category]], Table9[[#This Row],[Category]:[Category]], operations[[Month]:[Month]], Table9[[#Headers],[4]])</f>
        <v>-1057.9000000000001</v>
      </c>
      <c r="G5" s="4" cm="1">
        <f t="array" ref="G5">SUMIFS(operations[[Amount]:[Amount]], operations[[Category]:[Category]], Table9[[#This Row],[Category]:[Category]], operations[[Month]:[Month]], Table9[[#Headers],[5]])</f>
        <v>-80</v>
      </c>
      <c r="H5" s="4" cm="1">
        <f t="array" ref="H5">SUMIFS(operations[[Amount]:[Amount]], operations[[Category]:[Category]], Table9[[#This Row],[Category]:[Category]], operations[[Month]:[Month]], Table9[[#Headers],[6]])</f>
        <v>-200</v>
      </c>
      <c r="I5" s="4" cm="1">
        <f t="array" ref="I5">SUMIFS(operations[[Amount]:[Amount]], operations[[Category]:[Category]], Table9[[#This Row],[Category]:[Category]], operations[[Month]:[Month]], Table9[[#Headers],[7]])</f>
        <v>-700</v>
      </c>
      <c r="J5" s="4" cm="1">
        <f t="array" ref="J5">SUMIFS(operations[[Amount]:[Amount]], operations[[Category]:[Category]], Table9[[#This Row],[Category]:[Category]], operations[[Month]:[Month]], Table9[[#Headers],[8]])</f>
        <v>-250</v>
      </c>
      <c r="K5" s="4" cm="1">
        <f t="array" ref="K5">SUMIFS(operations[[Amount]:[Amount]], operations[[Category]:[Category]], Table9[[#This Row],[Category]:[Category]], operations[[Month]:[Month]], Table9[[#Headers],[9]])</f>
        <v>-20</v>
      </c>
      <c r="L5" s="4" cm="1">
        <f t="array" ref="L5">SUMIFS(operations[[Amount]:[Amount]], operations[[Category]:[Category]], Table9[[#This Row],[Category]:[Category]], operations[[Month]:[Month]], Table9[[#Headers],[10]])</f>
        <v>-40</v>
      </c>
      <c r="M5" s="4" cm="1">
        <f t="array" ref="M5">SUMIFS(operations[[Amount]:[Amount]], operations[[Category]:[Category]], Table9[[#This Row],[Category]:[Category]], operations[[Month]:[Month]], Table9[[#Headers],[11]])</f>
        <v>-214</v>
      </c>
      <c r="N5" s="4" cm="1">
        <f t="array" ref="N5">SUMIFS(operations[[Amount]:[Amount]], operations[[Category]:[Category]], Table9[[#This Row],[Category]:[Category]], operations[[Month]:[Month]], Table9[[#Headers],[12]])</f>
        <v>-450</v>
      </c>
      <c r="O5" s="4">
        <f>SUM(Table9[[#This Row],[1]:[12]])</f>
        <v>-3646.9</v>
      </c>
    </row>
    <row r="6" spans="1:15" x14ac:dyDescent="0.3">
      <c r="A6" s="25" t="s">
        <v>28</v>
      </c>
      <c r="B6" s="22" t="s">
        <v>33</v>
      </c>
      <c r="C6" s="4" cm="1">
        <f t="array" ref="C6">SUMIFS(operations[[Amount]:[Amount]], operations[[Category]:[Category]], Table9[[#This Row],[Category]:[Category]], operations[[Month]:[Month]], Table9[[#Headers],[1]])</f>
        <v>105.5</v>
      </c>
      <c r="D6" s="4" cm="1">
        <f t="array" ref="D6">SUMIFS(operations[[Amount]:[Amount]], operations[[Category]:[Category]], Table9[[#This Row],[Category]:[Category]], operations[[Month]:[Month]], Table9[[#Headers],[2]])</f>
        <v>115</v>
      </c>
      <c r="E6" s="4" cm="1">
        <f t="array" ref="E6">SUMIFS(operations[[Amount]:[Amount]], operations[[Category]:[Category]], Table9[[#This Row],[Category]:[Category]], operations[[Month]:[Month]], Table9[[#Headers],[3]])</f>
        <v>150</v>
      </c>
      <c r="F6" s="4" cm="1">
        <f t="array" ref="F6">SUMIFS(operations[[Amount]:[Amount]], operations[[Category]:[Category]], Table9[[#This Row],[Category]:[Category]], operations[[Month]:[Month]], Table9[[#Headers],[4]])</f>
        <v>150</v>
      </c>
      <c r="G6" s="4" cm="1">
        <f t="array" ref="G6">SUMIFS(operations[[Amount]:[Amount]], operations[[Category]:[Category]], Table9[[#This Row],[Category]:[Category]], operations[[Month]:[Month]], Table9[[#Headers],[5]])</f>
        <v>0</v>
      </c>
      <c r="H6" s="4" cm="1">
        <f t="array" ref="H6">SUMIFS(operations[[Amount]:[Amount]], operations[[Category]:[Category]], Table9[[#This Row],[Category]:[Category]], operations[[Month]:[Month]], Table9[[#Headers],[6]])</f>
        <v>0</v>
      </c>
      <c r="I6" s="4" cm="1">
        <f t="array" ref="I6">SUMIFS(operations[[Amount]:[Amount]], operations[[Category]:[Category]], Table9[[#This Row],[Category]:[Category]], operations[[Month]:[Month]], Table9[[#Headers],[7]])</f>
        <v>120</v>
      </c>
      <c r="J6" s="4" cm="1">
        <f t="array" ref="J6">SUMIFS(operations[[Amount]:[Amount]], operations[[Category]:[Category]], Table9[[#This Row],[Category]:[Category]], operations[[Month]:[Month]], Table9[[#Headers],[8]])</f>
        <v>0</v>
      </c>
      <c r="K6" s="4" cm="1">
        <f t="array" ref="K6">SUMIFS(operations[[Amount]:[Amount]], operations[[Category]:[Category]], Table9[[#This Row],[Category]:[Category]], operations[[Month]:[Month]], Table9[[#Headers],[9]])</f>
        <v>0</v>
      </c>
      <c r="L6" s="4" cm="1">
        <f t="array" ref="L6">SUMIFS(operations[[Amount]:[Amount]], operations[[Category]:[Category]], Table9[[#This Row],[Category]:[Category]], operations[[Month]:[Month]], Table9[[#Headers],[10]])</f>
        <v>0</v>
      </c>
      <c r="M6" s="4" cm="1">
        <f t="array" ref="M6">SUMIFS(operations[[Amount]:[Amount]], operations[[Category]:[Category]], Table9[[#This Row],[Category]:[Category]], operations[[Month]:[Month]], Table9[[#Headers],[11]])</f>
        <v>0</v>
      </c>
      <c r="N6" s="4" cm="1">
        <f t="array" ref="N6">SUMIFS(operations[[Amount]:[Amount]], operations[[Category]:[Category]], Table9[[#This Row],[Category]:[Category]], operations[[Month]:[Month]], Table9[[#Headers],[12]])</f>
        <v>0</v>
      </c>
      <c r="O6" s="4">
        <f>SUM(Table9[[#This Row],[1]:[12]])</f>
        <v>640.5</v>
      </c>
    </row>
    <row r="7" spans="1:15" x14ac:dyDescent="0.3">
      <c r="A7" s="25" t="s">
        <v>29</v>
      </c>
      <c r="B7" s="22" t="s">
        <v>33</v>
      </c>
      <c r="C7" s="4" cm="1">
        <f t="array" ref="C7">SUMIFS(operations[[Amount]:[Amount]], operations[[Category]:[Category]], Table9[[#This Row],[Category]:[Category]], operations[[Month]:[Month]], Table9[[#Headers],[1]])</f>
        <v>0</v>
      </c>
      <c r="D7" s="4" cm="1">
        <f t="array" ref="D7">SUMIFS(operations[[Amount]:[Amount]], operations[[Category]:[Category]], Table9[[#This Row],[Category]:[Category]], operations[[Month]:[Month]], Table9[[#Headers],[2]])</f>
        <v>0</v>
      </c>
      <c r="E7" s="4" cm="1">
        <f t="array" ref="E7">SUMIFS(operations[[Amount]:[Amount]], operations[[Category]:[Category]], Table9[[#This Row],[Category]:[Category]], operations[[Month]:[Month]], Table9[[#Headers],[3]])</f>
        <v>5</v>
      </c>
      <c r="F7" s="4" cm="1">
        <f t="array" ref="F7">SUMIFS(operations[[Amount]:[Amount]], operations[[Category]:[Category]], Table9[[#This Row],[Category]:[Category]], operations[[Month]:[Month]], Table9[[#Headers],[4]])</f>
        <v>50</v>
      </c>
      <c r="G7" s="4" cm="1">
        <f t="array" ref="G7">SUMIFS(operations[[Amount]:[Amount]], operations[[Category]:[Category]], Table9[[#This Row],[Category]:[Category]], operations[[Month]:[Month]], Table9[[#Headers],[5]])</f>
        <v>0</v>
      </c>
      <c r="H7" s="4" cm="1">
        <f t="array" ref="H7">SUMIFS(operations[[Amount]:[Amount]], operations[[Category]:[Category]], Table9[[#This Row],[Category]:[Category]], operations[[Month]:[Month]], Table9[[#Headers],[6]])</f>
        <v>0</v>
      </c>
      <c r="I7" s="4" cm="1">
        <f t="array" ref="I7">SUMIFS(operations[[Amount]:[Amount]], operations[[Category]:[Category]], Table9[[#This Row],[Category]:[Category]], operations[[Month]:[Month]], Table9[[#Headers],[7]])</f>
        <v>800</v>
      </c>
      <c r="J7" s="4" cm="1">
        <f t="array" ref="J7">SUMIFS(operations[[Amount]:[Amount]], operations[[Category]:[Category]], Table9[[#This Row],[Category]:[Category]], operations[[Month]:[Month]], Table9[[#Headers],[8]])</f>
        <v>400</v>
      </c>
      <c r="K7" s="4" cm="1">
        <f t="array" ref="K7">SUMIFS(operations[[Amount]:[Amount]], operations[[Category]:[Category]], Table9[[#This Row],[Category]:[Category]], operations[[Month]:[Month]], Table9[[#Headers],[9]])</f>
        <v>0</v>
      </c>
      <c r="L7" s="4" cm="1">
        <f t="array" ref="L7">SUMIFS(operations[[Amount]:[Amount]], operations[[Category]:[Category]], Table9[[#This Row],[Category]:[Category]], operations[[Month]:[Month]], Table9[[#Headers],[10]])</f>
        <v>0</v>
      </c>
      <c r="M7" s="4" cm="1">
        <f t="array" ref="M7">SUMIFS(operations[[Amount]:[Amount]], operations[[Category]:[Category]], Table9[[#This Row],[Category]:[Category]], operations[[Month]:[Month]], Table9[[#Headers],[11]])</f>
        <v>400</v>
      </c>
      <c r="N7" s="4" cm="1">
        <f t="array" ref="N7">SUMIFS(operations[[Amount]:[Amount]], operations[[Category]:[Category]], Table9[[#This Row],[Category]:[Category]], operations[[Month]:[Month]], Table9[[#Headers],[12]])</f>
        <v>2000</v>
      </c>
      <c r="O7" s="4">
        <f>SUM(Table9[[#This Row],[1]:[12]])</f>
        <v>3655</v>
      </c>
    </row>
    <row r="8" spans="1:15" x14ac:dyDescent="0.3">
      <c r="A8" s="25" t="s">
        <v>17</v>
      </c>
      <c r="B8" s="22" t="s">
        <v>32</v>
      </c>
      <c r="C8" s="4" cm="1">
        <f t="array" ref="C8">SUMIFS(operations[[Amount]:[Amount]], operations[[Category]:[Category]], Table9[[#This Row],[Category]:[Category]], operations[[Month]:[Month]], Table9[[#Headers],[1]])</f>
        <v>-1715</v>
      </c>
      <c r="D8" s="4" cm="1">
        <f t="array" ref="D8">SUMIFS(operations[[Amount]:[Amount]], operations[[Category]:[Category]], Table9[[#This Row],[Category]:[Category]], operations[[Month]:[Month]], Table9[[#Headers],[2]])</f>
        <v>-405.5</v>
      </c>
      <c r="E8" s="4" cm="1">
        <f t="array" ref="E8">SUMIFS(operations[[Amount]:[Amount]], operations[[Category]:[Category]], Table9[[#This Row],[Category]:[Category]], operations[[Month]:[Month]], Table9[[#Headers],[3]])</f>
        <v>-734.99</v>
      </c>
      <c r="F8" s="4" cm="1">
        <f t="array" ref="F8">SUMIFS(operations[[Amount]:[Amount]], operations[[Category]:[Category]], Table9[[#This Row],[Category]:[Category]], operations[[Month]:[Month]], Table9[[#Headers],[4]])</f>
        <v>-372.26</v>
      </c>
      <c r="G8" s="4" cm="1">
        <f t="array" ref="G8">SUMIFS(operations[[Amount]:[Amount]], operations[[Category]:[Category]], Table9[[#This Row],[Category]:[Category]], operations[[Month]:[Month]], Table9[[#Headers],[5]])</f>
        <v>-1000</v>
      </c>
      <c r="H8" s="4" cm="1">
        <f t="array" ref="H8">SUMIFS(operations[[Amount]:[Amount]], operations[[Category]:[Category]], Table9[[#This Row],[Category]:[Category]], operations[[Month]:[Month]], Table9[[#Headers],[6]])</f>
        <v>-1000</v>
      </c>
      <c r="I8" s="4" cm="1">
        <f t="array" ref="I8">SUMIFS(operations[[Amount]:[Amount]], operations[[Category]:[Category]], Table9[[#This Row],[Category]:[Category]], operations[[Month]:[Month]], Table9[[#Headers],[7]])</f>
        <v>-165</v>
      </c>
      <c r="J8" s="4" cm="1">
        <f t="array" ref="J8">SUMIFS(operations[[Amount]:[Amount]], operations[[Category]:[Category]], Table9[[#This Row],[Category]:[Category]], operations[[Month]:[Month]], Table9[[#Headers],[8]])</f>
        <v>-749.5</v>
      </c>
      <c r="K8" s="4" cm="1">
        <f t="array" ref="K8">SUMIFS(operations[[Amount]:[Amount]], operations[[Category]:[Category]], Table9[[#This Row],[Category]:[Category]], operations[[Month]:[Month]], Table9[[#Headers],[9]])</f>
        <v>-538.5</v>
      </c>
      <c r="L8" s="4" cm="1">
        <f t="array" ref="L8">SUMIFS(operations[[Amount]:[Amount]], operations[[Category]:[Category]], Table9[[#This Row],[Category]:[Category]], operations[[Month]:[Month]], Table9[[#Headers],[10]])</f>
        <v>-600</v>
      </c>
      <c r="M8" s="4" cm="1">
        <f t="array" ref="M8">SUMIFS(operations[[Amount]:[Amount]], operations[[Category]:[Category]], Table9[[#This Row],[Category]:[Category]], operations[[Month]:[Month]], Table9[[#Headers],[11]])</f>
        <v>-506</v>
      </c>
      <c r="N8" s="4" cm="1">
        <f t="array" ref="N8">SUMIFS(operations[[Amount]:[Amount]], operations[[Category]:[Category]], Table9[[#This Row],[Category]:[Category]], operations[[Month]:[Month]], Table9[[#Headers],[12]])</f>
        <v>-700</v>
      </c>
      <c r="O8" s="4">
        <f>SUM(Table9[[#This Row],[1]:[12]])</f>
        <v>-8486.75</v>
      </c>
    </row>
    <row r="9" spans="1:15" x14ac:dyDescent="0.3">
      <c r="A9" s="25" t="s">
        <v>21</v>
      </c>
      <c r="B9" s="22" t="s">
        <v>32</v>
      </c>
      <c r="C9" s="4" cm="1">
        <f t="array" ref="C9">SUMIFS(operations[[Amount]:[Amount]], operations[[Category]:[Category]], Table9[[#This Row],[Category]:[Category]], operations[[Month]:[Month]], Table9[[#Headers],[1]])</f>
        <v>-100</v>
      </c>
      <c r="D9" s="4" cm="1">
        <f t="array" ref="D9">SUMIFS(operations[[Amount]:[Amount]], operations[[Category]:[Category]], Table9[[#This Row],[Category]:[Category]], operations[[Month]:[Month]], Table9[[#Headers],[2]])</f>
        <v>-250</v>
      </c>
      <c r="E9" s="4" cm="1">
        <f t="array" ref="E9">SUMIFS(operations[[Amount]:[Amount]], operations[[Category]:[Category]], Table9[[#This Row],[Category]:[Category]], operations[[Month]:[Month]], Table9[[#Headers],[3]])</f>
        <v>-9.5</v>
      </c>
      <c r="F9" s="4" cm="1">
        <f t="array" ref="F9">SUMIFS(operations[[Amount]:[Amount]], operations[[Category]:[Category]], Table9[[#This Row],[Category]:[Category]], operations[[Month]:[Month]], Table9[[#Headers],[4]])</f>
        <v>-23.5</v>
      </c>
      <c r="G9" s="4" cm="1">
        <f t="array" ref="G9">SUMIFS(operations[[Amount]:[Amount]], operations[[Category]:[Category]], Table9[[#This Row],[Category]:[Category]], operations[[Month]:[Month]], Table9[[#Headers],[5]])</f>
        <v>0</v>
      </c>
      <c r="H9" s="4" cm="1">
        <f t="array" ref="H9">SUMIFS(operations[[Amount]:[Amount]], operations[[Category]:[Category]], Table9[[#This Row],[Category]:[Category]], operations[[Month]:[Month]], Table9[[#Headers],[6]])</f>
        <v>-100</v>
      </c>
      <c r="I9" s="4" cm="1">
        <f t="array" ref="I9">SUMIFS(operations[[Amount]:[Amount]], operations[[Category]:[Category]], Table9[[#This Row],[Category]:[Category]], operations[[Month]:[Month]], Table9[[#Headers],[7]])</f>
        <v>-300</v>
      </c>
      <c r="J9" s="4" cm="1">
        <f t="array" ref="J9">SUMIFS(operations[[Amount]:[Amount]], operations[[Category]:[Category]], Table9[[#This Row],[Category]:[Category]], operations[[Month]:[Month]], Table9[[#Headers],[8]])</f>
        <v>-400</v>
      </c>
      <c r="K9" s="4" cm="1">
        <f t="array" ref="K9">SUMIFS(operations[[Amount]:[Amount]], operations[[Category]:[Category]], Table9[[#This Row],[Category]:[Category]], operations[[Month]:[Month]], Table9[[#Headers],[9]])</f>
        <v>0</v>
      </c>
      <c r="L9" s="4" cm="1">
        <f t="array" ref="L9">SUMIFS(operations[[Amount]:[Amount]], operations[[Category]:[Category]], Table9[[#This Row],[Category]:[Category]], operations[[Month]:[Month]], Table9[[#Headers],[10]])</f>
        <v>0</v>
      </c>
      <c r="M9" s="4" cm="1">
        <f t="array" ref="M9">SUMIFS(operations[[Amount]:[Amount]], operations[[Category]:[Category]], Table9[[#This Row],[Category]:[Category]], operations[[Month]:[Month]], Table9[[#Headers],[11]])</f>
        <v>-133</v>
      </c>
      <c r="N9" s="4" cm="1">
        <f t="array" ref="N9">SUMIFS(operations[[Amount]:[Amount]], operations[[Category]:[Category]], Table9[[#This Row],[Category]:[Category]], operations[[Month]:[Month]], Table9[[#Headers],[12]])</f>
        <v>-10</v>
      </c>
      <c r="O9" s="4">
        <f>SUM(Table9[[#This Row],[1]:[12]])</f>
        <v>-1326</v>
      </c>
    </row>
    <row r="10" spans="1:15" x14ac:dyDescent="0.3">
      <c r="A10" s="25" t="s">
        <v>19</v>
      </c>
      <c r="B10" s="22" t="s">
        <v>32</v>
      </c>
      <c r="C10" s="4" cm="1">
        <f t="array" ref="C10">SUMIFS(operations[[Amount]:[Amount]], operations[[Category]:[Category]], Table9[[#This Row],[Category]:[Category]], operations[[Month]:[Month]], Table9[[#Headers],[1]])</f>
        <v>-150</v>
      </c>
      <c r="D10" s="4" cm="1">
        <f t="array" ref="D10">SUMIFS(operations[[Amount]:[Amount]], operations[[Category]:[Category]], Table9[[#This Row],[Category]:[Category]], operations[[Month]:[Month]], Table9[[#Headers],[2]])</f>
        <v>-150</v>
      </c>
      <c r="E10" s="4" cm="1">
        <f t="array" ref="E10">SUMIFS(operations[[Amount]:[Amount]], operations[[Category]:[Category]], Table9[[#This Row],[Category]:[Category]], operations[[Month]:[Month]], Table9[[#Headers],[3]])</f>
        <v>-23</v>
      </c>
      <c r="F10" s="4" cm="1">
        <f t="array" ref="F10">SUMIFS(operations[[Amount]:[Amount]], operations[[Category]:[Category]], Table9[[#This Row],[Category]:[Category]], operations[[Month]:[Month]], Table9[[#Headers],[4]])</f>
        <v>-49</v>
      </c>
      <c r="G10" s="4" cm="1">
        <f t="array" ref="G10">SUMIFS(operations[[Amount]:[Amount]], operations[[Category]:[Category]], Table9[[#This Row],[Category]:[Category]], operations[[Month]:[Month]], Table9[[#Headers],[5]])</f>
        <v>-50</v>
      </c>
      <c r="H10" s="4" cm="1">
        <f t="array" ref="H10">SUMIFS(operations[[Amount]:[Amount]], operations[[Category]:[Category]], Table9[[#This Row],[Category]:[Category]], operations[[Month]:[Month]], Table9[[#Headers],[6]])</f>
        <v>-50</v>
      </c>
      <c r="I10" s="4" cm="1">
        <f t="array" ref="I10">SUMIFS(operations[[Amount]:[Amount]], operations[[Category]:[Category]], Table9[[#This Row],[Category]:[Category]], operations[[Month]:[Month]], Table9[[#Headers],[7]])</f>
        <v>0</v>
      </c>
      <c r="J10" s="4" cm="1">
        <f t="array" ref="J10">SUMIFS(operations[[Amount]:[Amount]], operations[[Category]:[Category]], Table9[[#This Row],[Category]:[Category]], operations[[Month]:[Month]], Table9[[#Headers],[8]])</f>
        <v>0</v>
      </c>
      <c r="K10" s="4" cm="1">
        <f t="array" ref="K10">SUMIFS(operations[[Amount]:[Amount]], operations[[Category]:[Category]], Table9[[#This Row],[Category]:[Category]], operations[[Month]:[Month]], Table9[[#Headers],[9]])</f>
        <v>-40</v>
      </c>
      <c r="L10" s="4" cm="1">
        <f t="array" ref="L10">SUMIFS(operations[[Amount]:[Amount]], operations[[Category]:[Category]], Table9[[#This Row],[Category]:[Category]], operations[[Month]:[Month]], Table9[[#Headers],[10]])</f>
        <v>-40</v>
      </c>
      <c r="M10" s="4" cm="1">
        <f t="array" ref="M10">SUMIFS(operations[[Amount]:[Amount]], operations[[Category]:[Category]], Table9[[#This Row],[Category]:[Category]], operations[[Month]:[Month]], Table9[[#Headers],[11]])</f>
        <v>-47</v>
      </c>
      <c r="N10" s="4" cm="1">
        <f t="array" ref="N10">SUMIFS(operations[[Amount]:[Amount]], operations[[Category]:[Category]], Table9[[#This Row],[Category]:[Category]], operations[[Month]:[Month]], Table9[[#Headers],[12]])</f>
        <v>0</v>
      </c>
      <c r="O10" s="4">
        <f>SUM(Table9[[#This Row],[1]:[12]])</f>
        <v>-599</v>
      </c>
    </row>
    <row r="11" spans="1:15" x14ac:dyDescent="0.3">
      <c r="A11" s="25" t="s">
        <v>24</v>
      </c>
      <c r="B11" s="22" t="s">
        <v>32</v>
      </c>
      <c r="C11" s="4" cm="1">
        <f t="array" ref="C11">SUMIFS(operations[[Amount]:[Amount]], operations[[Category]:[Category]], Table9[[#This Row],[Category]:[Category]], operations[[Month]:[Month]], Table9[[#Headers],[1]])</f>
        <v>-500</v>
      </c>
      <c r="D11" s="4" cm="1">
        <f t="array" ref="D11">SUMIFS(operations[[Amount]:[Amount]], operations[[Category]:[Category]], Table9[[#This Row],[Category]:[Category]], operations[[Month]:[Month]], Table9[[#Headers],[2]])</f>
        <v>-765</v>
      </c>
      <c r="E11" s="4" cm="1">
        <f t="array" ref="E11">SUMIFS(operations[[Amount]:[Amount]], operations[[Category]:[Category]], Table9[[#This Row],[Category]:[Category]], operations[[Month]:[Month]], Table9[[#Headers],[3]])</f>
        <v>-300</v>
      </c>
      <c r="F11" s="4" cm="1">
        <f t="array" ref="F11">SUMIFS(operations[[Amount]:[Amount]], operations[[Category]:[Category]], Table9[[#This Row],[Category]:[Category]], operations[[Month]:[Month]], Table9[[#Headers],[4]])</f>
        <v>-100</v>
      </c>
      <c r="G11" s="4" cm="1">
        <f t="array" ref="G11">SUMIFS(operations[[Amount]:[Amount]], operations[[Category]:[Category]], Table9[[#This Row],[Category]:[Category]], operations[[Month]:[Month]], Table9[[#Headers],[5]])</f>
        <v>0</v>
      </c>
      <c r="H11" s="4" cm="1">
        <f t="array" ref="H11">SUMIFS(operations[[Amount]:[Amount]], operations[[Category]:[Category]], Table9[[#This Row],[Category]:[Category]], operations[[Month]:[Month]], Table9[[#Headers],[6]])</f>
        <v>0</v>
      </c>
      <c r="I11" s="4" cm="1">
        <f t="array" ref="I11">SUMIFS(operations[[Amount]:[Amount]], operations[[Category]:[Category]], Table9[[#This Row],[Category]:[Category]], operations[[Month]:[Month]], Table9[[#Headers],[7]])</f>
        <v>0</v>
      </c>
      <c r="J11" s="4" cm="1">
        <f t="array" ref="J11">SUMIFS(operations[[Amount]:[Amount]], operations[[Category]:[Category]], Table9[[#This Row],[Category]:[Category]], operations[[Month]:[Month]], Table9[[#Headers],[8]])</f>
        <v>0</v>
      </c>
      <c r="K11" s="4" cm="1">
        <f t="array" ref="K11">SUMIFS(operations[[Amount]:[Amount]], operations[[Category]:[Category]], Table9[[#This Row],[Category]:[Category]], operations[[Month]:[Month]], Table9[[#Headers],[9]])</f>
        <v>0</v>
      </c>
      <c r="L11" s="4" cm="1">
        <f t="array" ref="L11">SUMIFS(operations[[Amount]:[Amount]], operations[[Category]:[Category]], Table9[[#This Row],[Category]:[Category]], operations[[Month]:[Month]], Table9[[#Headers],[10]])</f>
        <v>0</v>
      </c>
      <c r="M11" s="4" cm="1">
        <f t="array" ref="M11">SUMIFS(operations[[Amount]:[Amount]], operations[[Category]:[Category]], Table9[[#This Row],[Category]:[Category]], operations[[Month]:[Month]], Table9[[#Headers],[11]])</f>
        <v>-234</v>
      </c>
      <c r="N11" s="4" cm="1">
        <f t="array" ref="N11">SUMIFS(operations[[Amount]:[Amount]], operations[[Category]:[Category]], Table9[[#This Row],[Category]:[Category]], operations[[Month]:[Month]], Table9[[#Headers],[12]])</f>
        <v>-700</v>
      </c>
      <c r="O11" s="4">
        <f>SUM(Table9[[#This Row],[1]:[12]])</f>
        <v>-2599</v>
      </c>
    </row>
    <row r="12" spans="1:15" x14ac:dyDescent="0.3">
      <c r="A12" s="25" t="s">
        <v>30</v>
      </c>
      <c r="B12" s="22" t="s">
        <v>33</v>
      </c>
      <c r="C12" s="4" cm="1">
        <f t="array" ref="C12">SUMIFS(operations[[Amount]:[Amount]], operations[[Category]:[Category]], Table9[[#This Row],[Category]:[Category]], operations[[Month]:[Month]], Table9[[#Headers],[1]])</f>
        <v>800</v>
      </c>
      <c r="D12" s="4" cm="1">
        <f t="array" ref="D12">SUMIFS(operations[[Amount]:[Amount]], operations[[Category]:[Category]], Table9[[#This Row],[Category]:[Category]], operations[[Month]:[Month]], Table9[[#Headers],[2]])</f>
        <v>1950</v>
      </c>
      <c r="E12" s="4" cm="1">
        <f t="array" ref="E12">SUMIFS(operations[[Amount]:[Amount]], operations[[Category]:[Category]], Table9[[#This Row],[Category]:[Category]], operations[[Month]:[Month]], Table9[[#Headers],[3]])</f>
        <v>0</v>
      </c>
      <c r="F12" s="4" cm="1">
        <f t="array" ref="F12">SUMIFS(operations[[Amount]:[Amount]], operations[[Category]:[Category]], Table9[[#This Row],[Category]:[Category]], operations[[Month]:[Month]], Table9[[#Headers],[4]])</f>
        <v>0</v>
      </c>
      <c r="G12" s="4" cm="1">
        <f t="array" ref="G12">SUMIFS(operations[[Amount]:[Amount]], operations[[Category]:[Category]], Table9[[#This Row],[Category]:[Category]], operations[[Month]:[Month]], Table9[[#Headers],[5]])</f>
        <v>0</v>
      </c>
      <c r="H12" s="4" cm="1">
        <f t="array" ref="H12">SUMIFS(operations[[Amount]:[Amount]], operations[[Category]:[Category]], Table9[[#This Row],[Category]:[Category]], operations[[Month]:[Month]], Table9[[#Headers],[6]])</f>
        <v>0</v>
      </c>
      <c r="I12" s="4" cm="1">
        <f t="array" ref="I12">SUMIFS(operations[[Amount]:[Amount]], operations[[Category]:[Category]], Table9[[#This Row],[Category]:[Category]], operations[[Month]:[Month]], Table9[[#Headers],[7]])</f>
        <v>0</v>
      </c>
      <c r="J12" s="4" cm="1">
        <f t="array" ref="J12">SUMIFS(operations[[Amount]:[Amount]], operations[[Category]:[Category]], Table9[[#This Row],[Category]:[Category]], operations[[Month]:[Month]], Table9[[#Headers],[8]])</f>
        <v>0</v>
      </c>
      <c r="K12" s="4" cm="1">
        <f t="array" ref="K12">SUMIFS(operations[[Amount]:[Amount]], operations[[Category]:[Category]], Table9[[#This Row],[Category]:[Category]], operations[[Month]:[Month]], Table9[[#Headers],[9]])</f>
        <v>0</v>
      </c>
      <c r="L12" s="4" cm="1">
        <f t="array" ref="L12">SUMIFS(operations[[Amount]:[Amount]], operations[[Category]:[Category]], Table9[[#This Row],[Category]:[Category]], operations[[Month]:[Month]], Table9[[#Headers],[10]])</f>
        <v>0</v>
      </c>
      <c r="M12" s="4" cm="1">
        <f t="array" ref="M12">SUMIFS(operations[[Amount]:[Amount]], operations[[Category]:[Category]], Table9[[#This Row],[Category]:[Category]], operations[[Month]:[Month]], Table9[[#Headers],[11]])</f>
        <v>0</v>
      </c>
      <c r="N12" s="4" cm="1">
        <f t="array" ref="N12">SUMIFS(operations[[Amount]:[Amount]], operations[[Category]:[Category]], Table9[[#This Row],[Category]:[Category]], operations[[Month]:[Month]], Table9[[#Headers],[12]])</f>
        <v>0</v>
      </c>
      <c r="O12" s="4">
        <f>SUM(Table9[[#This Row],[1]:[12]])</f>
        <v>2750</v>
      </c>
    </row>
    <row r="13" spans="1:15" x14ac:dyDescent="0.3">
      <c r="A13" s="25" t="s">
        <v>26</v>
      </c>
      <c r="B13" s="22" t="s">
        <v>33</v>
      </c>
      <c r="C13" s="4" cm="1">
        <f t="array" ref="C13">SUMIFS(operations[[Amount]:[Amount]], operations[[Category]:[Category]], Table9[[#This Row],[Category]:[Category]], operations[[Month]:[Month]], Table9[[#Headers],[1]])</f>
        <v>4500</v>
      </c>
      <c r="D13" s="4" cm="1">
        <f t="array" ref="D13">SUMIFS(operations[[Amount]:[Amount]], operations[[Category]:[Category]], Table9[[#This Row],[Category]:[Category]], operations[[Month]:[Month]], Table9[[#Headers],[2]])</f>
        <v>4500</v>
      </c>
      <c r="E13" s="4" cm="1">
        <f t="array" ref="E13">SUMIFS(operations[[Amount]:[Amount]], operations[[Category]:[Category]], Table9[[#This Row],[Category]:[Category]], operations[[Month]:[Month]], Table9[[#Headers],[3]])</f>
        <v>4500</v>
      </c>
      <c r="F13" s="4" cm="1">
        <f t="array" ref="F13">SUMIFS(operations[[Amount]:[Amount]], operations[[Category]:[Category]], Table9[[#This Row],[Category]:[Category]], operations[[Month]:[Month]], Table9[[#Headers],[4]])</f>
        <v>4500</v>
      </c>
      <c r="G13" s="4" cm="1">
        <f t="array" ref="G13">SUMIFS(operations[[Amount]:[Amount]], operations[[Category]:[Category]], Table9[[#This Row],[Category]:[Category]], operations[[Month]:[Month]], Table9[[#Headers],[5]])</f>
        <v>4500</v>
      </c>
      <c r="H13" s="4" cm="1">
        <f t="array" ref="H13">SUMIFS(operations[[Amount]:[Amount]], operations[[Category]:[Category]], Table9[[#This Row],[Category]:[Category]], operations[[Month]:[Month]], Table9[[#Headers],[6]])</f>
        <v>4500</v>
      </c>
      <c r="I13" s="4" cm="1">
        <f t="array" ref="I13">SUMIFS(operations[[Amount]:[Amount]], operations[[Category]:[Category]], Table9[[#This Row],[Category]:[Category]], operations[[Month]:[Month]], Table9[[#Headers],[7]])</f>
        <v>4500</v>
      </c>
      <c r="J13" s="4" cm="1">
        <f t="array" ref="J13">SUMIFS(operations[[Amount]:[Amount]], operations[[Category]:[Category]], Table9[[#This Row],[Category]:[Category]], operations[[Month]:[Month]], Table9[[#Headers],[8]])</f>
        <v>4500</v>
      </c>
      <c r="K13" s="4" cm="1">
        <f t="array" ref="K13">SUMIFS(operations[[Amount]:[Amount]], operations[[Category]:[Category]], Table9[[#This Row],[Category]:[Category]], operations[[Month]:[Month]], Table9[[#Headers],[9]])</f>
        <v>4500</v>
      </c>
      <c r="L13" s="4" cm="1">
        <f t="array" ref="L13">SUMIFS(operations[[Amount]:[Amount]], operations[[Category]:[Category]], Table9[[#This Row],[Category]:[Category]], operations[[Month]:[Month]], Table9[[#Headers],[10]])</f>
        <v>4500</v>
      </c>
      <c r="M13" s="4" cm="1">
        <f t="array" ref="M13">SUMIFS(operations[[Amount]:[Amount]], operations[[Category]:[Category]], Table9[[#This Row],[Category]:[Category]], operations[[Month]:[Month]], Table9[[#Headers],[11]])</f>
        <v>4500</v>
      </c>
      <c r="N13" s="4" cm="1">
        <f t="array" ref="N13">SUMIFS(operations[[Amount]:[Amount]], operations[[Category]:[Category]], Table9[[#This Row],[Category]:[Category]], operations[[Month]:[Month]], Table9[[#Headers],[12]])</f>
        <v>4500</v>
      </c>
      <c r="O13" s="4">
        <f>SUM(Table9[[#This Row],[1]:[12]])</f>
        <v>54000</v>
      </c>
    </row>
    <row r="14" spans="1:15" x14ac:dyDescent="0.3">
      <c r="A14" s="25" t="s">
        <v>27</v>
      </c>
      <c r="B14" s="22" t="s">
        <v>33</v>
      </c>
      <c r="C14" s="4" cm="1">
        <f t="array" ref="C14">SUMIFS(operations[[Amount]:[Amount]], operations[[Category]:[Category]], Table9[[#This Row],[Category]:[Category]], operations[[Month]:[Month]], Table9[[#Headers],[1]])</f>
        <v>0</v>
      </c>
      <c r="D14" s="4" cm="1">
        <f t="array" ref="D14">SUMIFS(operations[[Amount]:[Amount]], operations[[Category]:[Category]], Table9[[#This Row],[Category]:[Category]], operations[[Month]:[Month]], Table9[[#Headers],[2]])</f>
        <v>0</v>
      </c>
      <c r="E14" s="4" cm="1">
        <f t="array" ref="E14">SUMIFS(operations[[Amount]:[Amount]], operations[[Category]:[Category]], Table9[[#This Row],[Category]:[Category]], operations[[Month]:[Month]], Table9[[#Headers],[3]])</f>
        <v>0</v>
      </c>
      <c r="F14" s="4" cm="1">
        <f t="array" ref="F14">SUMIFS(operations[[Amount]:[Amount]], operations[[Category]:[Category]], Table9[[#This Row],[Category]:[Category]], operations[[Month]:[Month]], Table9[[#Headers],[4]])</f>
        <v>0</v>
      </c>
      <c r="G14" s="4" cm="1">
        <f t="array" ref="G14">SUMIFS(operations[[Amount]:[Amount]], operations[[Category]:[Category]], Table9[[#This Row],[Category]:[Category]], operations[[Month]:[Month]], Table9[[#Headers],[5]])</f>
        <v>0</v>
      </c>
      <c r="H14" s="4" cm="1">
        <f t="array" ref="H14">SUMIFS(operations[[Amount]:[Amount]], operations[[Category]:[Category]], Table9[[#This Row],[Category]:[Category]], operations[[Month]:[Month]], Table9[[#Headers],[6]])</f>
        <v>0</v>
      </c>
      <c r="I14" s="4" cm="1">
        <f t="array" ref="I14">SUMIFS(operations[[Amount]:[Amount]], operations[[Category]:[Category]], Table9[[#This Row],[Category]:[Category]], operations[[Month]:[Month]], Table9[[#Headers],[7]])</f>
        <v>500</v>
      </c>
      <c r="J14" s="4" cm="1">
        <f t="array" ref="J14">SUMIFS(operations[[Amount]:[Amount]], operations[[Category]:[Category]], Table9[[#This Row],[Category]:[Category]], operations[[Month]:[Month]], Table9[[#Headers],[8]])</f>
        <v>500</v>
      </c>
      <c r="K14" s="4" cm="1">
        <f t="array" ref="K14">SUMIFS(operations[[Amount]:[Amount]], operations[[Category]:[Category]], Table9[[#This Row],[Category]:[Category]], operations[[Month]:[Month]], Table9[[#Headers],[9]])</f>
        <v>0</v>
      </c>
      <c r="L14" s="4" cm="1">
        <f t="array" ref="L14">SUMIFS(operations[[Amount]:[Amount]], operations[[Category]:[Category]], Table9[[#This Row],[Category]:[Category]], operations[[Month]:[Month]], Table9[[#Headers],[10]])</f>
        <v>0</v>
      </c>
      <c r="M14" s="4" cm="1">
        <f t="array" ref="M14">SUMIFS(operations[[Amount]:[Amount]], operations[[Category]:[Category]], Table9[[#This Row],[Category]:[Category]], operations[[Month]:[Month]], Table9[[#Headers],[11]])</f>
        <v>0</v>
      </c>
      <c r="N14" s="4" cm="1">
        <f t="array" ref="N14">SUMIFS(operations[[Amount]:[Amount]], operations[[Category]:[Category]], Table9[[#This Row],[Category]:[Category]], operations[[Month]:[Month]], Table9[[#Headers],[12]])</f>
        <v>0</v>
      </c>
      <c r="O14" s="4">
        <f>SUM(Table9[[#This Row],[1]:[12]])</f>
        <v>1000</v>
      </c>
    </row>
    <row r="15" spans="1:15" x14ac:dyDescent="0.3">
      <c r="A15" s="25" t="s">
        <v>23</v>
      </c>
      <c r="B15" s="22" t="s">
        <v>32</v>
      </c>
      <c r="C15" s="4" cm="1">
        <f t="array" ref="C15">SUMIFS(operations[[Amount]:[Amount]], operations[[Category]:[Category]], Table9[[#This Row],[Category]:[Category]], operations[[Month]:[Month]], Table9[[#Headers],[1]])</f>
        <v>-100</v>
      </c>
      <c r="D15" s="4" cm="1">
        <f t="array" ref="D15">SUMIFS(operations[[Amount]:[Amount]], operations[[Category]:[Category]], Table9[[#This Row],[Category]:[Category]], operations[[Month]:[Month]], Table9[[#Headers],[2]])</f>
        <v>-100</v>
      </c>
      <c r="E15" s="4" cm="1">
        <f t="array" ref="E15">SUMIFS(operations[[Amount]:[Amount]], operations[[Category]:[Category]], Table9[[#This Row],[Category]:[Category]], operations[[Month]:[Month]], Table9[[#Headers],[3]])</f>
        <v>-79.5</v>
      </c>
      <c r="F15" s="4" cm="1">
        <f t="array" ref="F15">SUMIFS(operations[[Amount]:[Amount]], operations[[Category]:[Category]], Table9[[#This Row],[Category]:[Category]], operations[[Month]:[Month]], Table9[[#Headers],[4]])</f>
        <v>-139</v>
      </c>
      <c r="G15" s="4" cm="1">
        <f t="array" ref="G15">SUMIFS(operations[[Amount]:[Amount]], operations[[Category]:[Category]], Table9[[#This Row],[Category]:[Category]], operations[[Month]:[Month]], Table9[[#Headers],[5]])</f>
        <v>0</v>
      </c>
      <c r="H15" s="4" cm="1">
        <f t="array" ref="H15">SUMIFS(operations[[Amount]:[Amount]], operations[[Category]:[Category]], Table9[[#This Row],[Category]:[Category]], operations[[Month]:[Month]], Table9[[#Headers],[6]])</f>
        <v>0</v>
      </c>
      <c r="I15" s="4" cm="1">
        <f t="array" ref="I15">SUMIFS(operations[[Amount]:[Amount]], operations[[Category]:[Category]], Table9[[#This Row],[Category]:[Category]], operations[[Month]:[Month]], Table9[[#Headers],[7]])</f>
        <v>0</v>
      </c>
      <c r="J15" s="4" cm="1">
        <f t="array" ref="J15">SUMIFS(operations[[Amount]:[Amount]], operations[[Category]:[Category]], Table9[[#This Row],[Category]:[Category]], operations[[Month]:[Month]], Table9[[#Headers],[8]])</f>
        <v>0</v>
      </c>
      <c r="K15" s="4" cm="1">
        <f t="array" ref="K15">SUMIFS(operations[[Amount]:[Amount]], operations[[Category]:[Category]], Table9[[#This Row],[Category]:[Category]], operations[[Month]:[Month]], Table9[[#Headers],[9]])</f>
        <v>0</v>
      </c>
      <c r="L15" s="4" cm="1">
        <f t="array" ref="L15">SUMIFS(operations[[Amount]:[Amount]], operations[[Category]:[Category]], Table9[[#This Row],[Category]:[Category]], operations[[Month]:[Month]], Table9[[#Headers],[10]])</f>
        <v>0</v>
      </c>
      <c r="M15" s="4" cm="1">
        <f t="array" ref="M15">SUMIFS(operations[[Amount]:[Amount]], operations[[Category]:[Category]], Table9[[#This Row],[Category]:[Category]], operations[[Month]:[Month]], Table9[[#Headers],[11]])</f>
        <v>0</v>
      </c>
      <c r="N15" s="4" cm="1">
        <f t="array" ref="N15">SUMIFS(operations[[Amount]:[Amount]], operations[[Category]:[Category]], Table9[[#This Row],[Category]:[Category]], operations[[Month]:[Month]], Table9[[#Headers],[12]])</f>
        <v>-100</v>
      </c>
      <c r="O15" s="4">
        <f>SUM(Table9[[#This Row],[1]:[12]])</f>
        <v>-518.5</v>
      </c>
    </row>
    <row r="16" spans="1:15" x14ac:dyDescent="0.3">
      <c r="A16" s="25" t="s">
        <v>31</v>
      </c>
      <c r="B16" s="22" t="s">
        <v>31</v>
      </c>
      <c r="C16" s="4" cm="1">
        <f t="array" ref="C16">SUMIFS(operations[[Amount]:[Amount]], operations[[Category]:[Category]], Table9[[#This Row],[Category]:[Category]], operations[[Month]:[Month]], Table9[[#Headers],[1]])</f>
        <v>0</v>
      </c>
      <c r="D16" s="4" cm="1">
        <f t="array" ref="D16">SUMIFS(operations[[Amount]:[Amount]], operations[[Category]:[Category]], Table9[[#This Row],[Category]:[Category]], operations[[Month]:[Month]], Table9[[#Headers],[2]])</f>
        <v>0</v>
      </c>
      <c r="E16" s="4" cm="1">
        <f t="array" ref="E16">SUMIFS(operations[[Amount]:[Amount]], operations[[Category]:[Category]], Table9[[#This Row],[Category]:[Category]], operations[[Month]:[Month]], Table9[[#Headers],[3]])</f>
        <v>0</v>
      </c>
      <c r="F16" s="4" cm="1">
        <f t="array" ref="F16">SUMIFS(operations[[Amount]:[Amount]], operations[[Category]:[Category]], Table9[[#This Row],[Category]:[Category]], operations[[Month]:[Month]], Table9[[#Headers],[4]])</f>
        <v>0</v>
      </c>
      <c r="G16" s="4" cm="1">
        <f t="array" ref="G16">SUMIFS(operations[[Amount]:[Amount]], operations[[Category]:[Category]], Table9[[#This Row],[Category]:[Category]], operations[[Month]:[Month]], Table9[[#Headers],[5]])</f>
        <v>0</v>
      </c>
      <c r="H16" s="4" cm="1">
        <f t="array" ref="H16">SUMIFS(operations[[Amount]:[Amount]], operations[[Category]:[Category]], Table9[[#This Row],[Category]:[Category]], operations[[Month]:[Month]], Table9[[#Headers],[6]])</f>
        <v>0</v>
      </c>
      <c r="I16" s="4" cm="1">
        <f t="array" ref="I16">SUMIFS(operations[[Amount]:[Amount]], operations[[Category]:[Category]], Table9[[#This Row],[Category]:[Category]], operations[[Month]:[Month]], Table9[[#Headers],[7]])</f>
        <v>0</v>
      </c>
      <c r="J16" s="4" cm="1">
        <f t="array" ref="J16">SUMIFS(operations[[Amount]:[Amount]], operations[[Category]:[Category]], Table9[[#This Row],[Category]:[Category]], operations[[Month]:[Month]], Table9[[#Headers],[8]])</f>
        <v>0</v>
      </c>
      <c r="K16" s="4" cm="1">
        <f t="array" ref="K16">SUMIFS(operations[[Amount]:[Amount]], operations[[Category]:[Category]], Table9[[#This Row],[Category]:[Category]], operations[[Month]:[Month]], Table9[[#Headers],[9]])</f>
        <v>0</v>
      </c>
      <c r="L16" s="4" cm="1">
        <f t="array" ref="L16">SUMIFS(operations[[Amount]:[Amount]], operations[[Category]:[Category]], Table9[[#This Row],[Category]:[Category]], operations[[Month]:[Month]], Table9[[#Headers],[10]])</f>
        <v>0</v>
      </c>
      <c r="M16" s="4" cm="1">
        <f t="array" ref="M16">SUMIFS(operations[[Amount]:[Amount]], operations[[Category]:[Category]], Table9[[#This Row],[Category]:[Category]], operations[[Month]:[Month]], Table9[[#Headers],[11]])</f>
        <v>0</v>
      </c>
      <c r="N16" s="4" cm="1">
        <f t="array" ref="N16">SUMIFS(operations[[Amount]:[Amount]], operations[[Category]:[Category]], Table9[[#This Row],[Category]:[Category]], operations[[Month]:[Month]], Table9[[#Headers],[12]])</f>
        <v>0</v>
      </c>
      <c r="O16" s="4">
        <f>SUM(Table9[[#This Row],[1]:[12]])</f>
        <v>0</v>
      </c>
    </row>
    <row r="17" spans="1:15" x14ac:dyDescent="0.3">
      <c r="A17" s="26" t="s">
        <v>16</v>
      </c>
      <c r="B17" s="23" t="s">
        <v>32</v>
      </c>
      <c r="C17" s="4" cm="1">
        <f t="array" ref="C17">SUMIFS(operations[[Amount]:[Amount]], operations[[Category]:[Category]], Table9[[#This Row],[Category]:[Category]], operations[[Month]:[Month]], Table9[[#Headers],[1]])</f>
        <v>-80</v>
      </c>
      <c r="D17" s="4" cm="1">
        <f t="array" ref="D17">SUMIFS(operations[[Amount]:[Amount]], operations[[Category]:[Category]], Table9[[#This Row],[Category]:[Category]], operations[[Month]:[Month]], Table9[[#Headers],[2]])</f>
        <v>-80</v>
      </c>
      <c r="E17" s="4" cm="1">
        <f t="array" ref="E17">SUMIFS(operations[[Amount]:[Amount]], operations[[Category]:[Category]], Table9[[#This Row],[Category]:[Category]], operations[[Month]:[Month]], Table9[[#Headers],[3]])</f>
        <v>-82.5</v>
      </c>
      <c r="F17" s="4" cm="1">
        <f t="array" ref="F17">SUMIFS(operations[[Amount]:[Amount]], operations[[Category]:[Category]], Table9[[#This Row],[Category]:[Category]], operations[[Month]:[Month]], Table9[[#Headers],[4]])</f>
        <v>-82.5</v>
      </c>
      <c r="G17" s="4" cm="1">
        <f t="array" ref="G17">SUMIFS(operations[[Amount]:[Amount]], operations[[Category]:[Category]], Table9[[#This Row],[Category]:[Category]], operations[[Month]:[Month]], Table9[[#Headers],[5]])</f>
        <v>-80</v>
      </c>
      <c r="H17" s="4" cm="1">
        <f t="array" ref="H17">SUMIFS(operations[[Amount]:[Amount]], operations[[Category]:[Category]], Table9[[#This Row],[Category]:[Category]], operations[[Month]:[Month]], Table9[[#Headers],[6]])</f>
        <v>-80</v>
      </c>
      <c r="I17" s="4" cm="1">
        <f t="array" ref="I17">SUMIFS(operations[[Amount]:[Amount]], operations[[Category]:[Category]], Table9[[#This Row],[Category]:[Category]], operations[[Month]:[Month]], Table9[[#Headers],[7]])</f>
        <v>-90</v>
      </c>
      <c r="J17" s="4" cm="1">
        <f t="array" ref="J17">SUMIFS(operations[[Amount]:[Amount]], operations[[Category]:[Category]], Table9[[#This Row],[Category]:[Category]], operations[[Month]:[Month]], Table9[[#Headers],[8]])</f>
        <v>-290</v>
      </c>
      <c r="K17" s="4" cm="1">
        <f t="array" ref="K17">SUMIFS(operations[[Amount]:[Amount]], operations[[Category]:[Category]], Table9[[#This Row],[Category]:[Category]], operations[[Month]:[Month]], Table9[[#Headers],[9]])</f>
        <v>-150</v>
      </c>
      <c r="L17" s="4" cm="1">
        <f t="array" ref="L17">SUMIFS(operations[[Amount]:[Amount]], operations[[Category]:[Category]], Table9[[#This Row],[Category]:[Category]], operations[[Month]:[Month]], Table9[[#Headers],[10]])</f>
        <v>-150</v>
      </c>
      <c r="M17" s="4" cm="1">
        <f t="array" ref="M17">SUMIFS(operations[[Amount]:[Amount]], operations[[Category]:[Category]], Table9[[#This Row],[Category]:[Category]], operations[[Month]:[Month]], Table9[[#Headers],[11]])</f>
        <v>-208</v>
      </c>
      <c r="N17" s="4" cm="1">
        <f t="array" ref="N17">SUMIFS(operations[[Amount]:[Amount]], operations[[Category]:[Category]], Table9[[#This Row],[Category]:[Category]], operations[[Month]:[Month]], Table9[[#Headers],[12]])</f>
        <v>0</v>
      </c>
      <c r="O17" s="4">
        <f>SUM(Table9[[#This Row],[1]:[12]])</f>
        <v>-1373</v>
      </c>
    </row>
    <row r="18" spans="1:15" x14ac:dyDescent="0.3">
      <c r="A18" s="1" t="s">
        <v>34</v>
      </c>
      <c r="B18" s="27"/>
      <c r="C18" s="4">
        <f>SUBTOTAL(109,Table9[1])</f>
        <v>845.5</v>
      </c>
      <c r="D18" s="4">
        <f>SUBTOTAL(109,Table9[2])</f>
        <v>2464.5</v>
      </c>
      <c r="E18" s="4">
        <f>SUBTOTAL(109,Table9[3])</f>
        <v>755.60999999999967</v>
      </c>
      <c r="F18" s="4">
        <f>SUBTOTAL(109,Table9[4])</f>
        <v>726.84000000000015</v>
      </c>
      <c r="G18" s="4">
        <f>SUBTOTAL(109,Table9[5])</f>
        <v>1290</v>
      </c>
      <c r="H18" s="4">
        <f>SUBTOTAL(109,Table9[6])</f>
        <v>1170</v>
      </c>
      <c r="I18" s="4">
        <f>SUBTOTAL(109,Table9[7])</f>
        <v>2915</v>
      </c>
      <c r="J18" s="4">
        <f>SUBTOTAL(109,Table9[8])</f>
        <v>1410.5</v>
      </c>
      <c r="K18" s="4">
        <f>SUBTOTAL(109,Table9[9])</f>
        <v>1751.5</v>
      </c>
      <c r="L18" s="4">
        <f>SUBTOTAL(109,Table9[10])</f>
        <v>1670</v>
      </c>
      <c r="M18" s="4">
        <f>SUBTOTAL(109,Table9[11])</f>
        <v>1400</v>
      </c>
      <c r="N18" s="4">
        <f>SUBTOTAL(109,Table9[12])</f>
        <v>2420</v>
      </c>
      <c r="O18" s="4">
        <f>SUBTOTAL(109,Table9[Total])</f>
        <v>18819.449999999997</v>
      </c>
    </row>
  </sheetData>
  <dataValidations count="1">
    <dataValidation type="list" allowBlank="1" showInputMessage="1" showErrorMessage="1" sqref="B2:B17" xr:uid="{DF43A8B0-AB2B-44F9-BEC2-EA525F11A9AC}">
      <formula1>"Income, Expense, Transfer"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0802-B321-4746-AF58-C5CC23347C10}">
  <dimension ref="A1:O21"/>
  <sheetViews>
    <sheetView workbookViewId="0">
      <selection activeCell="H22" sqref="H22"/>
    </sheetView>
  </sheetViews>
  <sheetFormatPr defaultRowHeight="14.4" outlineLevelRow="2" x14ac:dyDescent="0.3"/>
  <cols>
    <col min="1" max="1" width="14.109375" customWidth="1"/>
    <col min="2" max="2" width="14.5546875" customWidth="1"/>
    <col min="3" max="14" width="10.88671875" bestFit="1" customWidth="1"/>
    <col min="15" max="15" width="11.88671875" bestFit="1" customWidth="1"/>
  </cols>
  <sheetData>
    <row r="1" spans="1:15" x14ac:dyDescent="0.3">
      <c r="A1" s="28" t="s">
        <v>3</v>
      </c>
      <c r="B1" s="28" t="s">
        <v>4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34</v>
      </c>
    </row>
    <row r="2" spans="1:15" outlineLevel="2" x14ac:dyDescent="0.3">
      <c r="A2" s="1" t="s">
        <v>18</v>
      </c>
      <c r="B2" t="s">
        <v>32</v>
      </c>
      <c r="C2" s="4">
        <f>SUMIFS(operations[[Amount]:[Amount]], operations[[Category]:[Category]], $A2, operations[[Month]:[Month]], C$1)</f>
        <v>-2000</v>
      </c>
      <c r="D2" s="4">
        <f>SUMIFS(operations[[Amount]:[Amount]], operations[[Category]:[Category]], $A2, operations[[Month]:[Month]], D$1)</f>
        <v>-2000</v>
      </c>
      <c r="E2" s="4">
        <f>SUMIFS(operations[[Amount]:[Amount]], operations[[Category]:[Category]], $A2, operations[[Month]:[Month]], E$1)</f>
        <v>-2000</v>
      </c>
      <c r="F2" s="4">
        <f>SUMIFS(operations[[Amount]:[Amount]], operations[[Category]:[Category]], $A2, operations[[Month]:[Month]], F$1)</f>
        <v>-2000</v>
      </c>
      <c r="G2" s="4">
        <f>SUMIFS(operations[[Amount]:[Amount]], operations[[Category]:[Category]], $A2, operations[[Month]:[Month]], G$1)</f>
        <v>-2000</v>
      </c>
      <c r="H2" s="4">
        <f>SUMIFS(operations[[Amount]:[Amount]], operations[[Category]:[Category]], $A2, operations[[Month]:[Month]], H$1)</f>
        <v>-2000</v>
      </c>
      <c r="I2" s="4">
        <f>SUMIFS(operations[[Amount]:[Amount]], operations[[Category]:[Category]], $A2, operations[[Month]:[Month]], I$1)</f>
        <v>-2000</v>
      </c>
      <c r="J2" s="4">
        <f>SUMIFS(operations[[Amount]:[Amount]], operations[[Category]:[Category]], $A2, operations[[Month]:[Month]], J$1)</f>
        <v>-2000</v>
      </c>
      <c r="K2" s="4">
        <f>SUMIFS(operations[[Amount]:[Amount]], operations[[Category]:[Category]], $A2, operations[[Month]:[Month]], K$1)</f>
        <v>-2000</v>
      </c>
      <c r="L2" s="4">
        <f>SUMIFS(operations[[Amount]:[Amount]], operations[[Category]:[Category]], $A2, operations[[Month]:[Month]], L$1)</f>
        <v>-2000</v>
      </c>
      <c r="M2" s="4">
        <f>SUMIFS(operations[[Amount]:[Amount]], operations[[Category]:[Category]], $A2, operations[[Month]:[Month]], M$1)</f>
        <v>-2000</v>
      </c>
      <c r="N2" s="4">
        <f>SUMIFS(operations[[Amount]:[Amount]], operations[[Category]:[Category]], $A2, operations[[Month]:[Month]], N$1)</f>
        <v>-2000</v>
      </c>
      <c r="O2" s="4">
        <f>SUM(C2:N2)</f>
        <v>-24000</v>
      </c>
    </row>
    <row r="3" spans="1:15" outlineLevel="2" x14ac:dyDescent="0.3">
      <c r="A3" s="1" t="s">
        <v>16</v>
      </c>
      <c r="B3" t="s">
        <v>32</v>
      </c>
      <c r="C3" s="4">
        <f>SUMIFS(operations[[Amount]:[Amount]], operations[[Category]:[Category]], $A3, operations[[Month]:[Month]], C$1)</f>
        <v>-80</v>
      </c>
      <c r="D3" s="4">
        <f>SUMIFS(operations[[Amount]:[Amount]], operations[[Category]:[Category]], $A3, operations[[Month]:[Month]], D$1)</f>
        <v>-80</v>
      </c>
      <c r="E3" s="4">
        <f>SUMIFS(operations[[Amount]:[Amount]], operations[[Category]:[Category]], $A3, operations[[Month]:[Month]], E$1)</f>
        <v>-82.5</v>
      </c>
      <c r="F3" s="4">
        <f>SUMIFS(operations[[Amount]:[Amount]], operations[[Category]:[Category]], $A3, operations[[Month]:[Month]], F$1)</f>
        <v>-82.5</v>
      </c>
      <c r="G3" s="4">
        <f>SUMIFS(operations[[Amount]:[Amount]], operations[[Category]:[Category]], $A3, operations[[Month]:[Month]], G$1)</f>
        <v>-80</v>
      </c>
      <c r="H3" s="4">
        <f>SUMIFS(operations[[Amount]:[Amount]], operations[[Category]:[Category]], $A3, operations[[Month]:[Month]], H$1)</f>
        <v>-80</v>
      </c>
      <c r="I3" s="4">
        <f>SUMIFS(operations[[Amount]:[Amount]], operations[[Category]:[Category]], $A3, operations[[Month]:[Month]], I$1)</f>
        <v>-90</v>
      </c>
      <c r="J3" s="4">
        <f>SUMIFS(operations[[Amount]:[Amount]], operations[[Category]:[Category]], $A3, operations[[Month]:[Month]], J$1)</f>
        <v>-290</v>
      </c>
      <c r="K3" s="4">
        <f>SUMIFS(operations[[Amount]:[Amount]], operations[[Category]:[Category]], $A3, operations[[Month]:[Month]], K$1)</f>
        <v>-150</v>
      </c>
      <c r="L3" s="4">
        <f>SUMIFS(operations[[Amount]:[Amount]], operations[[Category]:[Category]], $A3, operations[[Month]:[Month]], L$1)</f>
        <v>-150</v>
      </c>
      <c r="M3" s="4">
        <f>SUMIFS(operations[[Amount]:[Amount]], operations[[Category]:[Category]], $A3, operations[[Month]:[Month]], M$1)</f>
        <v>-208</v>
      </c>
      <c r="N3" s="4">
        <f>SUMIFS(operations[[Amount]:[Amount]], operations[[Category]:[Category]], $A3, operations[[Month]:[Month]], N$1)</f>
        <v>0</v>
      </c>
      <c r="O3" s="4">
        <f>SUM(C3:N3)</f>
        <v>-1373</v>
      </c>
    </row>
    <row r="4" spans="1:15" outlineLevel="2" x14ac:dyDescent="0.3">
      <c r="A4" s="1" t="s">
        <v>22</v>
      </c>
      <c r="B4" t="s">
        <v>32</v>
      </c>
      <c r="C4" s="4">
        <f>SUMIFS(operations[[Amount]:[Amount]], operations[[Category]:[Category]], $A4, operations[[Month]:[Month]], C$1)</f>
        <v>-80</v>
      </c>
      <c r="D4" s="4">
        <f>SUMIFS(operations[[Amount]:[Amount]], operations[[Category]:[Category]], $A4, operations[[Month]:[Month]], D$1)</f>
        <v>0</v>
      </c>
      <c r="E4" s="4">
        <f>SUMIFS(operations[[Amount]:[Amount]], operations[[Category]:[Category]], $A4, operations[[Month]:[Month]], E$1)</f>
        <v>-469.9</v>
      </c>
      <c r="F4" s="4">
        <f>SUMIFS(operations[[Amount]:[Amount]], operations[[Category]:[Category]], $A4, operations[[Month]:[Month]], F$1)</f>
        <v>-149</v>
      </c>
      <c r="G4" s="4">
        <f>SUMIFS(operations[[Amount]:[Amount]], operations[[Category]:[Category]], $A4, operations[[Month]:[Month]], G$1)</f>
        <v>0</v>
      </c>
      <c r="H4" s="4">
        <f>SUMIFS(operations[[Amount]:[Amount]], operations[[Category]:[Category]], $A4, operations[[Month]:[Month]], H$1)</f>
        <v>-300</v>
      </c>
      <c r="I4" s="4">
        <f>SUMIFS(operations[[Amount]:[Amount]], operations[[Category]:[Category]], $A4, operations[[Month]:[Month]], I$1)</f>
        <v>250</v>
      </c>
      <c r="J4" s="4">
        <f>SUMIFS(operations[[Amount]:[Amount]], operations[[Category]:[Category]], $A4, operations[[Month]:[Month]], J$1)</f>
        <v>-300</v>
      </c>
      <c r="K4" s="4">
        <f>SUMIFS(operations[[Amount]:[Amount]], operations[[Category]:[Category]], $A4, operations[[Month]:[Month]], K$1)</f>
        <v>0</v>
      </c>
      <c r="L4" s="4">
        <f>SUMIFS(operations[[Amount]:[Amount]], operations[[Category]:[Category]], $A4, operations[[Month]:[Month]], L$1)</f>
        <v>0</v>
      </c>
      <c r="M4" s="4">
        <f>SUMIFS(operations[[Amount]:[Amount]], operations[[Category]:[Category]], $A4, operations[[Month]:[Month]], M$1)</f>
        <v>-158</v>
      </c>
      <c r="N4" s="4">
        <f>SUMIFS(operations[[Amount]:[Amount]], operations[[Category]:[Category]], $A4, operations[[Month]:[Month]], N$1)</f>
        <v>-120</v>
      </c>
      <c r="O4" s="4">
        <f t="shared" ref="O4:O15" si="0">SUM(C4:N4)</f>
        <v>-1326.9</v>
      </c>
    </row>
    <row r="5" spans="1:15" outlineLevel="2" x14ac:dyDescent="0.3">
      <c r="A5" s="1" t="s">
        <v>20</v>
      </c>
      <c r="B5" t="s">
        <v>32</v>
      </c>
      <c r="C5" s="4">
        <f>SUMIFS(operations[[Amount]:[Amount]], operations[[Category]:[Category]], $A5, operations[[Month]:[Month]], C$1)</f>
        <v>-85</v>
      </c>
      <c r="D5" s="4">
        <f>SUMIFS(operations[[Amount]:[Amount]], operations[[Category]:[Category]], $A5, operations[[Month]:[Month]], D$1)</f>
        <v>-350</v>
      </c>
      <c r="E5" s="4">
        <f>SUMIFS(operations[[Amount]:[Amount]], operations[[Category]:[Category]], $A5, operations[[Month]:[Month]], E$1)</f>
        <v>-200</v>
      </c>
      <c r="F5" s="4">
        <f>SUMIFS(operations[[Amount]:[Amount]], operations[[Category]:[Category]], $A5, operations[[Month]:[Month]], F$1)</f>
        <v>-1057.9000000000001</v>
      </c>
      <c r="G5" s="4">
        <f>SUMIFS(operations[[Amount]:[Amount]], operations[[Category]:[Category]], $A5, operations[[Month]:[Month]], G$1)</f>
        <v>-80</v>
      </c>
      <c r="H5" s="4">
        <f>SUMIFS(operations[[Amount]:[Amount]], operations[[Category]:[Category]], $A5, operations[[Month]:[Month]], H$1)</f>
        <v>-200</v>
      </c>
      <c r="I5" s="4">
        <f>SUMIFS(operations[[Amount]:[Amount]], operations[[Category]:[Category]], $A5, operations[[Month]:[Month]], I$1)</f>
        <v>-700</v>
      </c>
      <c r="J5" s="4">
        <f>SUMIFS(operations[[Amount]:[Amount]], operations[[Category]:[Category]], $A5, operations[[Month]:[Month]], J$1)</f>
        <v>-250</v>
      </c>
      <c r="K5" s="4">
        <f>SUMIFS(operations[[Amount]:[Amount]], operations[[Category]:[Category]], $A5, operations[[Month]:[Month]], K$1)</f>
        <v>-20</v>
      </c>
      <c r="L5" s="4">
        <f>SUMIFS(operations[[Amount]:[Amount]], operations[[Category]:[Category]], $A5, operations[[Month]:[Month]], L$1)</f>
        <v>-40</v>
      </c>
      <c r="M5" s="4">
        <f>SUMIFS(operations[[Amount]:[Amount]], operations[[Category]:[Category]], $A5, operations[[Month]:[Month]], M$1)</f>
        <v>-214</v>
      </c>
      <c r="N5" s="4">
        <f>SUMIFS(operations[[Amount]:[Amount]], operations[[Category]:[Category]], $A5, operations[[Month]:[Month]], N$1)</f>
        <v>-450</v>
      </c>
      <c r="O5" s="4">
        <f t="shared" si="0"/>
        <v>-3646.9</v>
      </c>
    </row>
    <row r="6" spans="1:15" outlineLevel="2" x14ac:dyDescent="0.3">
      <c r="A6" s="1" t="s">
        <v>23</v>
      </c>
      <c r="B6" t="s">
        <v>32</v>
      </c>
      <c r="C6" s="4">
        <f>SUMIFS(operations[[Amount]:[Amount]], operations[[Category]:[Category]], $A6, operations[[Month]:[Month]], C$1)</f>
        <v>-100</v>
      </c>
      <c r="D6" s="4">
        <f>SUMIFS(operations[[Amount]:[Amount]], operations[[Category]:[Category]], $A6, operations[[Month]:[Month]], D$1)</f>
        <v>-100</v>
      </c>
      <c r="E6" s="4">
        <f>SUMIFS(operations[[Amount]:[Amount]], operations[[Category]:[Category]], $A6, operations[[Month]:[Month]], E$1)</f>
        <v>-79.5</v>
      </c>
      <c r="F6" s="4">
        <f>SUMIFS(operations[[Amount]:[Amount]], operations[[Category]:[Category]], $A6, operations[[Month]:[Month]], F$1)</f>
        <v>-139</v>
      </c>
      <c r="G6" s="4">
        <f>SUMIFS(operations[[Amount]:[Amount]], operations[[Category]:[Category]], $A6, operations[[Month]:[Month]], G$1)</f>
        <v>0</v>
      </c>
      <c r="H6" s="4">
        <f>SUMIFS(operations[[Amount]:[Amount]], operations[[Category]:[Category]], $A6, operations[[Month]:[Month]], H$1)</f>
        <v>0</v>
      </c>
      <c r="I6" s="4">
        <f>SUMIFS(operations[[Amount]:[Amount]], operations[[Category]:[Category]], $A6, operations[[Month]:[Month]], I$1)</f>
        <v>0</v>
      </c>
      <c r="J6" s="4">
        <f>SUMIFS(operations[[Amount]:[Amount]], operations[[Category]:[Category]], $A6, operations[[Month]:[Month]], J$1)</f>
        <v>0</v>
      </c>
      <c r="K6" s="4">
        <f>SUMIFS(operations[[Amount]:[Amount]], operations[[Category]:[Category]], $A6, operations[[Month]:[Month]], K$1)</f>
        <v>0</v>
      </c>
      <c r="L6" s="4">
        <f>SUMIFS(operations[[Amount]:[Amount]], operations[[Category]:[Category]], $A6, operations[[Month]:[Month]], L$1)</f>
        <v>0</v>
      </c>
      <c r="M6" s="4">
        <f>SUMIFS(operations[[Amount]:[Amount]], operations[[Category]:[Category]], $A6, operations[[Month]:[Month]], M$1)</f>
        <v>0</v>
      </c>
      <c r="N6" s="4">
        <f>SUMIFS(operations[[Amount]:[Amount]], operations[[Category]:[Category]], $A6, operations[[Month]:[Month]], N$1)</f>
        <v>-100</v>
      </c>
      <c r="O6" s="4">
        <f>SUM(C6:N6)</f>
        <v>-518.5</v>
      </c>
    </row>
    <row r="7" spans="1:15" outlineLevel="2" x14ac:dyDescent="0.3">
      <c r="A7" s="1" t="s">
        <v>19</v>
      </c>
      <c r="B7" t="s">
        <v>32</v>
      </c>
      <c r="C7" s="4">
        <f>SUMIFS(operations[[Amount]:[Amount]], operations[[Category]:[Category]], $A7, operations[[Month]:[Month]], C$1)</f>
        <v>-150</v>
      </c>
      <c r="D7" s="4">
        <f>SUMIFS(operations[[Amount]:[Amount]], operations[[Category]:[Category]], $A7, operations[[Month]:[Month]], D$1)</f>
        <v>-150</v>
      </c>
      <c r="E7" s="4">
        <f>SUMIFS(operations[[Amount]:[Amount]], operations[[Category]:[Category]], $A7, operations[[Month]:[Month]], E$1)</f>
        <v>-23</v>
      </c>
      <c r="F7" s="4">
        <f>SUMIFS(operations[[Amount]:[Amount]], operations[[Category]:[Category]], $A7, operations[[Month]:[Month]], F$1)</f>
        <v>-49</v>
      </c>
      <c r="G7" s="4">
        <f>SUMIFS(operations[[Amount]:[Amount]], operations[[Category]:[Category]], $A7, operations[[Month]:[Month]], G$1)</f>
        <v>-50</v>
      </c>
      <c r="H7" s="4">
        <f>SUMIFS(operations[[Amount]:[Amount]], operations[[Category]:[Category]], $A7, operations[[Month]:[Month]], H$1)</f>
        <v>-50</v>
      </c>
      <c r="I7" s="4">
        <f>SUMIFS(operations[[Amount]:[Amount]], operations[[Category]:[Category]], $A7, operations[[Month]:[Month]], I$1)</f>
        <v>0</v>
      </c>
      <c r="J7" s="4">
        <f>SUMIFS(operations[[Amount]:[Amount]], operations[[Category]:[Category]], $A7, operations[[Month]:[Month]], J$1)</f>
        <v>0</v>
      </c>
      <c r="K7" s="4">
        <f>SUMIFS(operations[[Amount]:[Amount]], operations[[Category]:[Category]], $A7, operations[[Month]:[Month]], K$1)</f>
        <v>-40</v>
      </c>
      <c r="L7" s="4">
        <f>SUMIFS(operations[[Amount]:[Amount]], operations[[Category]:[Category]], $A7, operations[[Month]:[Month]], L$1)</f>
        <v>-40</v>
      </c>
      <c r="M7" s="4">
        <f>SUMIFS(operations[[Amount]:[Amount]], operations[[Category]:[Category]], $A7, operations[[Month]:[Month]], M$1)</f>
        <v>-47</v>
      </c>
      <c r="N7" s="4">
        <f>SUMIFS(operations[[Amount]:[Amount]], operations[[Category]:[Category]], $A7, operations[[Month]:[Month]], N$1)</f>
        <v>0</v>
      </c>
      <c r="O7" s="4">
        <f>SUM(C7:N7)</f>
        <v>-599</v>
      </c>
    </row>
    <row r="8" spans="1:15" outlineLevel="2" x14ac:dyDescent="0.3">
      <c r="A8" s="1" t="s">
        <v>17</v>
      </c>
      <c r="B8" t="s">
        <v>32</v>
      </c>
      <c r="C8" s="4">
        <f>SUMIFS(operations[[Amount]:[Amount]], operations[[Category]:[Category]], $A8, operations[[Month]:[Month]], C$1)</f>
        <v>-1715</v>
      </c>
      <c r="D8" s="4">
        <f>SUMIFS(operations[[Amount]:[Amount]], operations[[Category]:[Category]], $A8, operations[[Month]:[Month]], D$1)</f>
        <v>-405.5</v>
      </c>
      <c r="E8" s="4">
        <f>SUMIFS(operations[[Amount]:[Amount]], operations[[Category]:[Category]], $A8, operations[[Month]:[Month]], E$1)</f>
        <v>-734.99</v>
      </c>
      <c r="F8" s="4">
        <f>SUMIFS(operations[[Amount]:[Amount]], operations[[Category]:[Category]], $A8, operations[[Month]:[Month]], F$1)</f>
        <v>-372.26</v>
      </c>
      <c r="G8" s="4">
        <f>SUMIFS(operations[[Amount]:[Amount]], operations[[Category]:[Category]], $A8, operations[[Month]:[Month]], G$1)</f>
        <v>-1000</v>
      </c>
      <c r="H8" s="4">
        <f>SUMIFS(operations[[Amount]:[Amount]], operations[[Category]:[Category]], $A8, operations[[Month]:[Month]], H$1)</f>
        <v>-1000</v>
      </c>
      <c r="I8" s="4">
        <f>SUMIFS(operations[[Amount]:[Amount]], operations[[Category]:[Category]], $A8, operations[[Month]:[Month]], I$1)</f>
        <v>-165</v>
      </c>
      <c r="J8" s="4">
        <f>SUMIFS(operations[[Amount]:[Amount]], operations[[Category]:[Category]], $A8, operations[[Month]:[Month]], J$1)</f>
        <v>-749.5</v>
      </c>
      <c r="K8" s="4">
        <f>SUMIFS(operations[[Amount]:[Amount]], operations[[Category]:[Category]], $A8, operations[[Month]:[Month]], K$1)</f>
        <v>-538.5</v>
      </c>
      <c r="L8" s="4">
        <f>SUMIFS(operations[[Amount]:[Amount]], operations[[Category]:[Category]], $A8, operations[[Month]:[Month]], L$1)</f>
        <v>-600</v>
      </c>
      <c r="M8" s="4">
        <f>SUMIFS(operations[[Amount]:[Amount]], operations[[Category]:[Category]], $A8, operations[[Month]:[Month]], M$1)</f>
        <v>-506</v>
      </c>
      <c r="N8" s="4">
        <f>SUMIFS(operations[[Amount]:[Amount]], operations[[Category]:[Category]], $A8, operations[[Month]:[Month]], N$1)</f>
        <v>-700</v>
      </c>
      <c r="O8" s="4">
        <f t="shared" si="0"/>
        <v>-8486.75</v>
      </c>
    </row>
    <row r="9" spans="1:15" outlineLevel="2" x14ac:dyDescent="0.3">
      <c r="A9" s="1" t="s">
        <v>21</v>
      </c>
      <c r="B9" t="s">
        <v>32</v>
      </c>
      <c r="C9" s="4">
        <f>SUMIFS(operations[[Amount]:[Amount]], operations[[Category]:[Category]], $A9, operations[[Month]:[Month]], C$1)</f>
        <v>-100</v>
      </c>
      <c r="D9" s="4">
        <f>SUMIFS(operations[[Amount]:[Amount]], operations[[Category]:[Category]], $A9, operations[[Month]:[Month]], D$1)</f>
        <v>-250</v>
      </c>
      <c r="E9" s="4">
        <f>SUMIFS(operations[[Amount]:[Amount]], operations[[Category]:[Category]], $A9, operations[[Month]:[Month]], E$1)</f>
        <v>-9.5</v>
      </c>
      <c r="F9" s="4">
        <f>SUMIFS(operations[[Amount]:[Amount]], operations[[Category]:[Category]], $A9, operations[[Month]:[Month]], F$1)</f>
        <v>-23.5</v>
      </c>
      <c r="G9" s="4">
        <f>SUMIFS(operations[[Amount]:[Amount]], operations[[Category]:[Category]], $A9, operations[[Month]:[Month]], G$1)</f>
        <v>0</v>
      </c>
      <c r="H9" s="4">
        <f>SUMIFS(operations[[Amount]:[Amount]], operations[[Category]:[Category]], $A9, operations[[Month]:[Month]], H$1)</f>
        <v>-100</v>
      </c>
      <c r="I9" s="4">
        <f>SUMIFS(operations[[Amount]:[Amount]], operations[[Category]:[Category]], $A9, operations[[Month]:[Month]], I$1)</f>
        <v>-300</v>
      </c>
      <c r="J9" s="4">
        <f>SUMIFS(operations[[Amount]:[Amount]], operations[[Category]:[Category]], $A9, operations[[Month]:[Month]], J$1)</f>
        <v>-400</v>
      </c>
      <c r="K9" s="4">
        <f>SUMIFS(operations[[Amount]:[Amount]], operations[[Category]:[Category]], $A9, operations[[Month]:[Month]], K$1)</f>
        <v>0</v>
      </c>
      <c r="L9" s="4">
        <f>SUMIFS(operations[[Amount]:[Amount]], operations[[Category]:[Category]], $A9, operations[[Month]:[Month]], L$1)</f>
        <v>0</v>
      </c>
      <c r="M9" s="4">
        <f>SUMIFS(operations[[Amount]:[Amount]], operations[[Category]:[Category]], $A9, operations[[Month]:[Month]], M$1)</f>
        <v>-133</v>
      </c>
      <c r="N9" s="4">
        <f>SUMIFS(operations[[Amount]:[Amount]], operations[[Category]:[Category]], $A9, operations[[Month]:[Month]], N$1)</f>
        <v>-10</v>
      </c>
      <c r="O9" s="4">
        <f t="shared" si="0"/>
        <v>-1326</v>
      </c>
    </row>
    <row r="10" spans="1:15" outlineLevel="2" x14ac:dyDescent="0.3">
      <c r="A10" s="1" t="s">
        <v>24</v>
      </c>
      <c r="B10" t="s">
        <v>32</v>
      </c>
      <c r="C10" s="4">
        <f>SUMIFS(operations[[Amount]:[Amount]], operations[[Category]:[Category]], $A10, operations[[Month]:[Month]], C$1)</f>
        <v>-500</v>
      </c>
      <c r="D10" s="4">
        <f>SUMIFS(operations[[Amount]:[Amount]], operations[[Category]:[Category]], $A10, operations[[Month]:[Month]], D$1)</f>
        <v>-765</v>
      </c>
      <c r="E10" s="4">
        <f>SUMIFS(operations[[Amount]:[Amount]], operations[[Category]:[Category]], $A10, operations[[Month]:[Month]], E$1)</f>
        <v>-300</v>
      </c>
      <c r="F10" s="4">
        <f>SUMIFS(operations[[Amount]:[Amount]], operations[[Category]:[Category]], $A10, operations[[Month]:[Month]], F$1)</f>
        <v>-100</v>
      </c>
      <c r="G10" s="4">
        <f>SUMIFS(operations[[Amount]:[Amount]], operations[[Category]:[Category]], $A10, operations[[Month]:[Month]], G$1)</f>
        <v>0</v>
      </c>
      <c r="H10" s="4">
        <f>SUMIFS(operations[[Amount]:[Amount]], operations[[Category]:[Category]], $A10, operations[[Month]:[Month]], H$1)</f>
        <v>0</v>
      </c>
      <c r="I10" s="4">
        <f>SUMIFS(operations[[Amount]:[Amount]], operations[[Category]:[Category]], $A10, operations[[Month]:[Month]], I$1)</f>
        <v>0</v>
      </c>
      <c r="J10" s="4">
        <f>SUMIFS(operations[[Amount]:[Amount]], operations[[Category]:[Category]], $A10, operations[[Month]:[Month]], J$1)</f>
        <v>0</v>
      </c>
      <c r="K10" s="4">
        <f>SUMIFS(operations[[Amount]:[Amount]], operations[[Category]:[Category]], $A10, operations[[Month]:[Month]], K$1)</f>
        <v>0</v>
      </c>
      <c r="L10" s="4">
        <f>SUMIFS(operations[[Amount]:[Amount]], operations[[Category]:[Category]], $A10, operations[[Month]:[Month]], L$1)</f>
        <v>0</v>
      </c>
      <c r="M10" s="4">
        <f>SUMIFS(operations[[Amount]:[Amount]], operations[[Category]:[Category]], $A10, operations[[Month]:[Month]], M$1)</f>
        <v>-234</v>
      </c>
      <c r="N10" s="4">
        <f>SUMIFS(operations[[Amount]:[Amount]], operations[[Category]:[Category]], $A10, operations[[Month]:[Month]], N$1)</f>
        <v>-700</v>
      </c>
      <c r="O10" s="4">
        <f>SUM(C10:N10)</f>
        <v>-2599</v>
      </c>
    </row>
    <row r="11" spans="1:15" outlineLevel="1" x14ac:dyDescent="0.3">
      <c r="A11" s="1"/>
      <c r="B11" s="29" t="s">
        <v>50</v>
      </c>
      <c r="C11" s="4">
        <f t="shared" ref="C11:O11" si="1">SUBTOTAL(9,C2:C10)</f>
        <v>-4810</v>
      </c>
      <c r="D11" s="4">
        <f t="shared" si="1"/>
        <v>-4100.5</v>
      </c>
      <c r="E11" s="4">
        <f t="shared" si="1"/>
        <v>-3899.3900000000003</v>
      </c>
      <c r="F11" s="4">
        <f t="shared" si="1"/>
        <v>-3973.16</v>
      </c>
      <c r="G11" s="4">
        <f t="shared" si="1"/>
        <v>-3210</v>
      </c>
      <c r="H11" s="4">
        <f t="shared" si="1"/>
        <v>-3730</v>
      </c>
      <c r="I11" s="4">
        <f t="shared" si="1"/>
        <v>-3005</v>
      </c>
      <c r="J11" s="4">
        <f t="shared" si="1"/>
        <v>-3989.5</v>
      </c>
      <c r="K11" s="4">
        <f t="shared" si="1"/>
        <v>-2748.5</v>
      </c>
      <c r="L11" s="4">
        <f t="shared" si="1"/>
        <v>-2830</v>
      </c>
      <c r="M11" s="4">
        <f t="shared" si="1"/>
        <v>-3500</v>
      </c>
      <c r="N11" s="4">
        <f t="shared" si="1"/>
        <v>-4080</v>
      </c>
      <c r="O11" s="4">
        <f t="shared" si="1"/>
        <v>-43876.05</v>
      </c>
    </row>
    <row r="12" spans="1:15" outlineLevel="2" x14ac:dyDescent="0.3">
      <c r="A12" s="1" t="s">
        <v>25</v>
      </c>
      <c r="B12" t="s">
        <v>33</v>
      </c>
      <c r="C12" s="4">
        <f>SUMIFS(operations[[Amount]:[Amount]], operations[[Category]:[Category]], $A12, operations[[Month]:[Month]], C$1)</f>
        <v>250</v>
      </c>
      <c r="D12" s="4">
        <f>SUMIFS(operations[[Amount]:[Amount]], operations[[Category]:[Category]], $A12, operations[[Month]:[Month]], D$1)</f>
        <v>0</v>
      </c>
      <c r="E12" s="4">
        <f>SUMIFS(operations[[Amount]:[Amount]], operations[[Category]:[Category]], $A12, operations[[Month]:[Month]], E$1)</f>
        <v>0</v>
      </c>
      <c r="F12" s="4">
        <f>SUMIFS(operations[[Amount]:[Amount]], operations[[Category]:[Category]], $A12, operations[[Month]:[Month]], F$1)</f>
        <v>0</v>
      </c>
      <c r="G12" s="4">
        <f>SUMIFS(operations[[Amount]:[Amount]], operations[[Category]:[Category]], $A12, operations[[Month]:[Month]], G$1)</f>
        <v>0</v>
      </c>
      <c r="H12" s="4">
        <f>SUMIFS(operations[[Amount]:[Amount]], operations[[Category]:[Category]], $A12, operations[[Month]:[Month]], H$1)</f>
        <v>400</v>
      </c>
      <c r="I12" s="4">
        <f>SUMIFS(operations[[Amount]:[Amount]], operations[[Category]:[Category]], $A12, operations[[Month]:[Month]], I$1)</f>
        <v>0</v>
      </c>
      <c r="J12" s="4">
        <f>SUMIFS(operations[[Amount]:[Amount]], operations[[Category]:[Category]], $A12, operations[[Month]:[Month]], J$1)</f>
        <v>0</v>
      </c>
      <c r="K12" s="4">
        <f>SUMIFS(operations[[Amount]:[Amount]], operations[[Category]:[Category]], $A12, operations[[Month]:[Month]], K$1)</f>
        <v>0</v>
      </c>
      <c r="L12" s="4">
        <f>SUMIFS(operations[[Amount]:[Amount]], operations[[Category]:[Category]], $A12, operations[[Month]:[Month]], L$1)</f>
        <v>0</v>
      </c>
      <c r="M12" s="4">
        <f>SUMIFS(operations[[Amount]:[Amount]], operations[[Category]:[Category]], $A12, operations[[Month]:[Month]], M$1)</f>
        <v>0</v>
      </c>
      <c r="N12" s="4">
        <f>SUMIFS(operations[[Amount]:[Amount]], operations[[Category]:[Category]], $A12, operations[[Month]:[Month]], N$1)</f>
        <v>0</v>
      </c>
      <c r="O12" s="4">
        <f>SUM(C12:N12)</f>
        <v>650</v>
      </c>
    </row>
    <row r="13" spans="1:15" outlineLevel="2" x14ac:dyDescent="0.3">
      <c r="A13" s="1" t="s">
        <v>30</v>
      </c>
      <c r="B13" t="s">
        <v>33</v>
      </c>
      <c r="C13" s="4">
        <f>SUMIFS(operations[[Amount]:[Amount]], operations[[Category]:[Category]], $A13, operations[[Month]:[Month]], C$1)</f>
        <v>800</v>
      </c>
      <c r="D13" s="4">
        <f>SUMIFS(operations[[Amount]:[Amount]], operations[[Category]:[Category]], $A13, operations[[Month]:[Month]], D$1)</f>
        <v>1950</v>
      </c>
      <c r="E13" s="4">
        <f>SUMIFS(operations[[Amount]:[Amount]], operations[[Category]:[Category]], $A13, operations[[Month]:[Month]], E$1)</f>
        <v>0</v>
      </c>
      <c r="F13" s="4">
        <f>SUMIFS(operations[[Amount]:[Amount]], operations[[Category]:[Category]], $A13, operations[[Month]:[Month]], F$1)</f>
        <v>0</v>
      </c>
      <c r="G13" s="4">
        <f>SUMIFS(operations[[Amount]:[Amount]], operations[[Category]:[Category]], $A13, operations[[Month]:[Month]], G$1)</f>
        <v>0</v>
      </c>
      <c r="H13" s="4">
        <f>SUMIFS(operations[[Amount]:[Amount]], operations[[Category]:[Category]], $A13, operations[[Month]:[Month]], H$1)</f>
        <v>0</v>
      </c>
      <c r="I13" s="4">
        <f>SUMIFS(operations[[Amount]:[Amount]], operations[[Category]:[Category]], $A13, operations[[Month]:[Month]], I$1)</f>
        <v>0</v>
      </c>
      <c r="J13" s="4">
        <f>SUMIFS(operations[[Amount]:[Amount]], operations[[Category]:[Category]], $A13, operations[[Month]:[Month]], J$1)</f>
        <v>0</v>
      </c>
      <c r="K13" s="4">
        <f>SUMIFS(operations[[Amount]:[Amount]], operations[[Category]:[Category]], $A13, operations[[Month]:[Month]], K$1)</f>
        <v>0</v>
      </c>
      <c r="L13" s="4">
        <f>SUMIFS(operations[[Amount]:[Amount]], operations[[Category]:[Category]], $A13, operations[[Month]:[Month]], L$1)</f>
        <v>0</v>
      </c>
      <c r="M13" s="4">
        <f>SUMIFS(operations[[Amount]:[Amount]], operations[[Category]:[Category]], $A13, operations[[Month]:[Month]], M$1)</f>
        <v>0</v>
      </c>
      <c r="N13" s="4">
        <f>SUMIFS(operations[[Amount]:[Amount]], operations[[Category]:[Category]], $A13, operations[[Month]:[Month]], N$1)</f>
        <v>0</v>
      </c>
      <c r="O13" s="4">
        <f t="shared" si="0"/>
        <v>2750</v>
      </c>
    </row>
    <row r="14" spans="1:15" outlineLevel="2" x14ac:dyDescent="0.3">
      <c r="A14" s="1" t="s">
        <v>26</v>
      </c>
      <c r="B14" t="s">
        <v>33</v>
      </c>
      <c r="C14" s="4">
        <f>SUMIFS(operations[[Amount]:[Amount]], operations[[Category]:[Category]], $A14, operations[[Month]:[Month]], C$1)</f>
        <v>4500</v>
      </c>
      <c r="D14" s="4">
        <f>SUMIFS(operations[[Amount]:[Amount]], operations[[Category]:[Category]], $A14, operations[[Month]:[Month]], D$1)</f>
        <v>4500</v>
      </c>
      <c r="E14" s="4">
        <f>SUMIFS(operations[[Amount]:[Amount]], operations[[Category]:[Category]], $A14, operations[[Month]:[Month]], E$1)</f>
        <v>4500</v>
      </c>
      <c r="F14" s="4">
        <f>SUMIFS(operations[[Amount]:[Amount]], operations[[Category]:[Category]], $A14, operations[[Month]:[Month]], F$1)</f>
        <v>4500</v>
      </c>
      <c r="G14" s="4">
        <f>SUMIFS(operations[[Amount]:[Amount]], operations[[Category]:[Category]], $A14, operations[[Month]:[Month]], G$1)</f>
        <v>4500</v>
      </c>
      <c r="H14" s="4">
        <f>SUMIFS(operations[[Amount]:[Amount]], operations[[Category]:[Category]], $A14, operations[[Month]:[Month]], H$1)</f>
        <v>4500</v>
      </c>
      <c r="I14" s="4">
        <f>SUMIFS(operations[[Amount]:[Amount]], operations[[Category]:[Category]], $A14, operations[[Month]:[Month]], I$1)</f>
        <v>4500</v>
      </c>
      <c r="J14" s="4">
        <f>SUMIFS(operations[[Amount]:[Amount]], operations[[Category]:[Category]], $A14, operations[[Month]:[Month]], J$1)</f>
        <v>4500</v>
      </c>
      <c r="K14" s="4">
        <f>SUMIFS(operations[[Amount]:[Amount]], operations[[Category]:[Category]], $A14, operations[[Month]:[Month]], K$1)</f>
        <v>4500</v>
      </c>
      <c r="L14" s="4">
        <f>SUMIFS(operations[[Amount]:[Amount]], operations[[Category]:[Category]], $A14, operations[[Month]:[Month]], L$1)</f>
        <v>4500</v>
      </c>
      <c r="M14" s="4">
        <f>SUMIFS(operations[[Amount]:[Amount]], operations[[Category]:[Category]], $A14, operations[[Month]:[Month]], M$1)</f>
        <v>4500</v>
      </c>
      <c r="N14" s="4">
        <f>SUMIFS(operations[[Amount]:[Amount]], operations[[Category]:[Category]], $A14, operations[[Month]:[Month]], N$1)</f>
        <v>4500</v>
      </c>
      <c r="O14" s="4">
        <f t="shared" si="0"/>
        <v>54000</v>
      </c>
    </row>
    <row r="15" spans="1:15" ht="15" customHeight="1" outlineLevel="2" x14ac:dyDescent="0.3">
      <c r="A15" s="1" t="s">
        <v>27</v>
      </c>
      <c r="B15" t="s">
        <v>33</v>
      </c>
      <c r="C15" s="4">
        <f>SUMIFS(operations[[Amount]:[Amount]], operations[[Category]:[Category]], $A15, operations[[Month]:[Month]], C$1)</f>
        <v>0</v>
      </c>
      <c r="D15" s="4">
        <f>SUMIFS(operations[[Amount]:[Amount]], operations[[Category]:[Category]], $A15, operations[[Month]:[Month]], D$1)</f>
        <v>0</v>
      </c>
      <c r="E15" s="4">
        <f>SUMIFS(operations[[Amount]:[Amount]], operations[[Category]:[Category]], $A15, operations[[Month]:[Month]], E$1)</f>
        <v>0</v>
      </c>
      <c r="F15" s="4">
        <f>SUMIFS(operations[[Amount]:[Amount]], operations[[Category]:[Category]], $A15, operations[[Month]:[Month]], F$1)</f>
        <v>0</v>
      </c>
      <c r="G15" s="4">
        <f>SUMIFS(operations[[Amount]:[Amount]], operations[[Category]:[Category]], $A15, operations[[Month]:[Month]], G$1)</f>
        <v>0</v>
      </c>
      <c r="H15" s="4">
        <f>SUMIFS(operations[[Amount]:[Amount]], operations[[Category]:[Category]], $A15, operations[[Month]:[Month]], H$1)</f>
        <v>0</v>
      </c>
      <c r="I15" s="4">
        <f>SUMIFS(operations[[Amount]:[Amount]], operations[[Category]:[Category]], $A15, operations[[Month]:[Month]], I$1)</f>
        <v>500</v>
      </c>
      <c r="J15" s="4">
        <f>SUMIFS(operations[[Amount]:[Amount]], operations[[Category]:[Category]], $A15, operations[[Month]:[Month]], J$1)</f>
        <v>500</v>
      </c>
      <c r="K15" s="4">
        <f>SUMIFS(operations[[Amount]:[Amount]], operations[[Category]:[Category]], $A15, operations[[Month]:[Month]], K$1)</f>
        <v>0</v>
      </c>
      <c r="L15" s="4">
        <f>SUMIFS(operations[[Amount]:[Amount]], operations[[Category]:[Category]], $A15, operations[[Month]:[Month]], L$1)</f>
        <v>0</v>
      </c>
      <c r="M15" s="4">
        <f>SUMIFS(operations[[Amount]:[Amount]], operations[[Category]:[Category]], $A15, operations[[Month]:[Month]], M$1)</f>
        <v>0</v>
      </c>
      <c r="N15" s="4">
        <f>SUMIFS(operations[[Amount]:[Amount]], operations[[Category]:[Category]], $A15, operations[[Month]:[Month]], N$1)</f>
        <v>0</v>
      </c>
      <c r="O15" s="4">
        <f t="shared" si="0"/>
        <v>1000</v>
      </c>
    </row>
    <row r="16" spans="1:15" outlineLevel="2" x14ac:dyDescent="0.3">
      <c r="A16" s="1" t="s">
        <v>29</v>
      </c>
      <c r="B16" t="s">
        <v>33</v>
      </c>
      <c r="C16" s="4">
        <f>SUMIFS(operations[[Amount]:[Amount]], operations[[Category]:[Category]], $A16, operations[[Month]:[Month]], C$1)</f>
        <v>0</v>
      </c>
      <c r="D16" s="4">
        <f>SUMIFS(operations[[Amount]:[Amount]], operations[[Category]:[Category]], $A16, operations[[Month]:[Month]], D$1)</f>
        <v>0</v>
      </c>
      <c r="E16" s="4">
        <f>SUMIFS(operations[[Amount]:[Amount]], operations[[Category]:[Category]], $A16, operations[[Month]:[Month]], E$1)</f>
        <v>5</v>
      </c>
      <c r="F16" s="4">
        <f>SUMIFS(operations[[Amount]:[Amount]], operations[[Category]:[Category]], $A16, operations[[Month]:[Month]], F$1)</f>
        <v>50</v>
      </c>
      <c r="G16" s="4">
        <f>SUMIFS(operations[[Amount]:[Amount]], operations[[Category]:[Category]], $A16, operations[[Month]:[Month]], G$1)</f>
        <v>0</v>
      </c>
      <c r="H16" s="4">
        <f>SUMIFS(operations[[Amount]:[Amount]], operations[[Category]:[Category]], $A16, operations[[Month]:[Month]], H$1)</f>
        <v>0</v>
      </c>
      <c r="I16" s="4">
        <f>SUMIFS(operations[[Amount]:[Amount]], operations[[Category]:[Category]], $A16, operations[[Month]:[Month]], I$1)</f>
        <v>800</v>
      </c>
      <c r="J16" s="4">
        <f>SUMIFS(operations[[Amount]:[Amount]], operations[[Category]:[Category]], $A16, operations[[Month]:[Month]], J$1)</f>
        <v>400</v>
      </c>
      <c r="K16" s="4">
        <f>SUMIFS(operations[[Amount]:[Amount]], operations[[Category]:[Category]], $A16, operations[[Month]:[Month]], K$1)</f>
        <v>0</v>
      </c>
      <c r="L16" s="4">
        <f>SUMIFS(operations[[Amount]:[Amount]], operations[[Category]:[Category]], $A16, operations[[Month]:[Month]], L$1)</f>
        <v>0</v>
      </c>
      <c r="M16" s="4">
        <f>SUMIFS(operations[[Amount]:[Amount]], operations[[Category]:[Category]], $A16, operations[[Month]:[Month]], M$1)</f>
        <v>400</v>
      </c>
      <c r="N16" s="4">
        <f>SUMIFS(operations[[Amount]:[Amount]], operations[[Category]:[Category]], $A16, operations[[Month]:[Month]], N$1)</f>
        <v>2000</v>
      </c>
      <c r="O16" s="4">
        <f>SUM(C16:N16)</f>
        <v>3655</v>
      </c>
    </row>
    <row r="17" spans="1:15" outlineLevel="2" x14ac:dyDescent="0.3">
      <c r="A17" s="1" t="s">
        <v>28</v>
      </c>
      <c r="B17" t="s">
        <v>33</v>
      </c>
      <c r="C17" s="4">
        <f>SUMIFS(operations[[Amount]:[Amount]], operations[[Category]:[Category]], $A17, operations[[Month]:[Month]], C$1)</f>
        <v>105.5</v>
      </c>
      <c r="D17" s="4">
        <f>SUMIFS(operations[[Amount]:[Amount]], operations[[Category]:[Category]], $A17, operations[[Month]:[Month]], D$1)</f>
        <v>115</v>
      </c>
      <c r="E17" s="4">
        <f>SUMIFS(operations[[Amount]:[Amount]], operations[[Category]:[Category]], $A17, operations[[Month]:[Month]], E$1)</f>
        <v>150</v>
      </c>
      <c r="F17" s="4">
        <f>SUMIFS(operations[[Amount]:[Amount]], operations[[Category]:[Category]], $A17, operations[[Month]:[Month]], F$1)</f>
        <v>150</v>
      </c>
      <c r="G17" s="4">
        <f>SUMIFS(operations[[Amount]:[Amount]], operations[[Category]:[Category]], $A17, operations[[Month]:[Month]], G$1)</f>
        <v>0</v>
      </c>
      <c r="H17" s="4">
        <f>SUMIFS(operations[[Amount]:[Amount]], operations[[Category]:[Category]], $A17, operations[[Month]:[Month]], H$1)</f>
        <v>0</v>
      </c>
      <c r="I17" s="4">
        <f>SUMIFS(operations[[Amount]:[Amount]], operations[[Category]:[Category]], $A17, operations[[Month]:[Month]], I$1)</f>
        <v>120</v>
      </c>
      <c r="J17" s="4">
        <f>SUMIFS(operations[[Amount]:[Amount]], operations[[Category]:[Category]], $A17, operations[[Month]:[Month]], J$1)</f>
        <v>0</v>
      </c>
      <c r="K17" s="4">
        <f>SUMIFS(operations[[Amount]:[Amount]], operations[[Category]:[Category]], $A17, operations[[Month]:[Month]], K$1)</f>
        <v>0</v>
      </c>
      <c r="L17" s="4">
        <f>SUMIFS(operations[[Amount]:[Amount]], operations[[Category]:[Category]], $A17, operations[[Month]:[Month]], L$1)</f>
        <v>0</v>
      </c>
      <c r="M17" s="4">
        <f>SUMIFS(operations[[Amount]:[Amount]], operations[[Category]:[Category]], $A17, operations[[Month]:[Month]], M$1)</f>
        <v>0</v>
      </c>
      <c r="N17" s="4">
        <f>SUMIFS(operations[[Amount]:[Amount]], operations[[Category]:[Category]], $A17, operations[[Month]:[Month]], N$1)</f>
        <v>0</v>
      </c>
      <c r="O17" s="4">
        <f>SUM(C17:N17)</f>
        <v>640.5</v>
      </c>
    </row>
    <row r="18" spans="1:15" outlineLevel="1" x14ac:dyDescent="0.3">
      <c r="A18" s="1"/>
      <c r="B18" s="30" t="s">
        <v>51</v>
      </c>
      <c r="C18" s="4">
        <f t="shared" ref="C18:O18" si="2">SUBTOTAL(9,C12:C17)</f>
        <v>5655.5</v>
      </c>
      <c r="D18" s="4">
        <f t="shared" si="2"/>
        <v>6565</v>
      </c>
      <c r="E18" s="4">
        <f t="shared" si="2"/>
        <v>4655</v>
      </c>
      <c r="F18" s="4">
        <f t="shared" si="2"/>
        <v>4700</v>
      </c>
      <c r="G18" s="4">
        <f t="shared" si="2"/>
        <v>4500</v>
      </c>
      <c r="H18" s="4">
        <f t="shared" si="2"/>
        <v>4900</v>
      </c>
      <c r="I18" s="4">
        <f t="shared" si="2"/>
        <v>5920</v>
      </c>
      <c r="J18" s="4">
        <f t="shared" si="2"/>
        <v>5400</v>
      </c>
      <c r="K18" s="4">
        <f t="shared" si="2"/>
        <v>4500</v>
      </c>
      <c r="L18" s="4">
        <f t="shared" si="2"/>
        <v>4500</v>
      </c>
      <c r="M18" s="4">
        <f t="shared" si="2"/>
        <v>4900</v>
      </c>
      <c r="N18" s="4">
        <f t="shared" si="2"/>
        <v>6500</v>
      </c>
      <c r="O18" s="4">
        <f t="shared" si="2"/>
        <v>62695.5</v>
      </c>
    </row>
    <row r="19" spans="1:15" ht="15.6" customHeight="1" outlineLevel="2" x14ac:dyDescent="0.3">
      <c r="A19" s="1" t="s">
        <v>31</v>
      </c>
      <c r="B19" t="s">
        <v>31</v>
      </c>
      <c r="C19" s="4">
        <f>SUMIFS(operations[[Amount]:[Amount]], operations[[Category]:[Category]], $A19, operations[[Month]:[Month]], C$1)</f>
        <v>0</v>
      </c>
      <c r="D19" s="4">
        <f>SUMIFS(operations[[Amount]:[Amount]], operations[[Category]:[Category]], $A19, operations[[Month]:[Month]], D$1)</f>
        <v>0</v>
      </c>
      <c r="E19" s="4">
        <f>SUMIFS(operations[[Amount]:[Amount]], operations[[Category]:[Category]], $A19, operations[[Month]:[Month]], E$1)</f>
        <v>0</v>
      </c>
      <c r="F19" s="4">
        <f>SUMIFS(operations[[Amount]:[Amount]], operations[[Category]:[Category]], $A19, operations[[Month]:[Month]], F$1)</f>
        <v>0</v>
      </c>
      <c r="G19" s="4">
        <f>SUMIFS(operations[[Amount]:[Amount]], operations[[Category]:[Category]], $A19, operations[[Month]:[Month]], G$1)</f>
        <v>0</v>
      </c>
      <c r="H19" s="4">
        <f>SUMIFS(operations[[Amount]:[Amount]], operations[[Category]:[Category]], $A19, operations[[Month]:[Month]], H$1)</f>
        <v>0</v>
      </c>
      <c r="I19" s="4">
        <f>SUMIFS(operations[[Amount]:[Amount]], operations[[Category]:[Category]], $A19, operations[[Month]:[Month]], I$1)</f>
        <v>0</v>
      </c>
      <c r="J19" s="4">
        <f>SUMIFS(operations[[Amount]:[Amount]], operations[[Category]:[Category]], $A19, operations[[Month]:[Month]], J$1)</f>
        <v>0</v>
      </c>
      <c r="K19" s="4">
        <f>SUMIFS(operations[[Amount]:[Amount]], operations[[Category]:[Category]], $A19, operations[[Month]:[Month]], K$1)</f>
        <v>0</v>
      </c>
      <c r="L19" s="4">
        <f>SUMIFS(operations[[Amount]:[Amount]], operations[[Category]:[Category]], $A19, operations[[Month]:[Month]], L$1)</f>
        <v>0</v>
      </c>
      <c r="M19" s="4">
        <f>SUMIFS(operations[[Amount]:[Amount]], operations[[Category]:[Category]], $A19, operations[[Month]:[Month]], M$1)</f>
        <v>0</v>
      </c>
      <c r="N19" s="4">
        <f>SUMIFS(operations[[Amount]:[Amount]], operations[[Category]:[Category]], $A19, operations[[Month]:[Month]], N$1)</f>
        <v>0</v>
      </c>
      <c r="O19" s="4">
        <f>SUM(C19:N19)</f>
        <v>0</v>
      </c>
    </row>
    <row r="20" spans="1:15" ht="15.6" customHeight="1" outlineLevel="1" x14ac:dyDescent="0.3">
      <c r="A20" s="1"/>
      <c r="B20" s="30" t="s">
        <v>52</v>
      </c>
      <c r="C20" s="4">
        <f t="shared" ref="C20:O20" si="3">SUBTOTAL(9,C19:C19)</f>
        <v>0</v>
      </c>
      <c r="D20" s="4">
        <f t="shared" si="3"/>
        <v>0</v>
      </c>
      <c r="E20" s="4">
        <f t="shared" si="3"/>
        <v>0</v>
      </c>
      <c r="F20" s="4">
        <f t="shared" si="3"/>
        <v>0</v>
      </c>
      <c r="G20" s="4">
        <f t="shared" si="3"/>
        <v>0</v>
      </c>
      <c r="H20" s="4">
        <f t="shared" si="3"/>
        <v>0</v>
      </c>
      <c r="I20" s="4">
        <f t="shared" si="3"/>
        <v>0</v>
      </c>
      <c r="J20" s="4">
        <f t="shared" si="3"/>
        <v>0</v>
      </c>
      <c r="K20" s="4">
        <f t="shared" si="3"/>
        <v>0</v>
      </c>
      <c r="L20" s="4">
        <f t="shared" si="3"/>
        <v>0</v>
      </c>
      <c r="M20" s="4">
        <f t="shared" si="3"/>
        <v>0</v>
      </c>
      <c r="N20" s="4">
        <f t="shared" si="3"/>
        <v>0</v>
      </c>
      <c r="O20" s="4">
        <f t="shared" si="3"/>
        <v>0</v>
      </c>
    </row>
    <row r="21" spans="1:15" ht="15.6" customHeight="1" x14ac:dyDescent="0.3">
      <c r="A21" s="1"/>
      <c r="B21" s="30" t="s">
        <v>53</v>
      </c>
      <c r="C21" s="4">
        <f t="shared" ref="C21:O21" si="4">SUBTOTAL(9,C2:C19)</f>
        <v>845.5</v>
      </c>
      <c r="D21" s="4">
        <f t="shared" si="4"/>
        <v>2464.5</v>
      </c>
      <c r="E21" s="4">
        <f t="shared" si="4"/>
        <v>755.60999999999967</v>
      </c>
      <c r="F21" s="4">
        <f t="shared" si="4"/>
        <v>726.84000000000015</v>
      </c>
      <c r="G21" s="4">
        <f t="shared" si="4"/>
        <v>1290</v>
      </c>
      <c r="H21" s="4">
        <f t="shared" si="4"/>
        <v>1170</v>
      </c>
      <c r="I21" s="4">
        <f t="shared" si="4"/>
        <v>2915</v>
      </c>
      <c r="J21" s="4">
        <f t="shared" si="4"/>
        <v>1410.5</v>
      </c>
      <c r="K21" s="4">
        <f t="shared" si="4"/>
        <v>1751.5</v>
      </c>
      <c r="L21" s="4">
        <f t="shared" si="4"/>
        <v>1670</v>
      </c>
      <c r="M21" s="4">
        <f t="shared" si="4"/>
        <v>1400</v>
      </c>
      <c r="N21" s="4">
        <f t="shared" si="4"/>
        <v>2420</v>
      </c>
      <c r="O21" s="4">
        <f t="shared" si="4"/>
        <v>18819.449999999997</v>
      </c>
    </row>
  </sheetData>
  <dataValidations count="1">
    <dataValidation type="list" allowBlank="1" showInputMessage="1" showErrorMessage="1" sqref="B2:B10 B12:B17 B19" xr:uid="{73C96181-34D7-482C-907B-15C2A32D9700}">
      <formula1>"Income, Expense, Transfer"</formula1>
    </dataValidation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B0F7-7C93-49BC-BB3F-DEB140112E6E}">
  <dimension ref="A3:N24"/>
  <sheetViews>
    <sheetView workbookViewId="0">
      <selection activeCell="O12" sqref="O12"/>
    </sheetView>
  </sheetViews>
  <sheetFormatPr defaultRowHeight="14.4" x14ac:dyDescent="0.3"/>
  <cols>
    <col min="1" max="1" width="17.6640625" bestFit="1" customWidth="1"/>
    <col min="2" max="2" width="15.5546875" bestFit="1" customWidth="1"/>
    <col min="3" max="13" width="10.44140625" bestFit="1" customWidth="1"/>
    <col min="14" max="14" width="11.44140625" bestFit="1" customWidth="1"/>
  </cols>
  <sheetData>
    <row r="3" spans="1:14" x14ac:dyDescent="0.3">
      <c r="A3" s="31" t="s">
        <v>56</v>
      </c>
      <c r="B3" s="31" t="s">
        <v>54</v>
      </c>
    </row>
    <row r="4" spans="1:14" x14ac:dyDescent="0.3">
      <c r="A4" s="31" t="s">
        <v>55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53</v>
      </c>
    </row>
    <row r="5" spans="1:14" x14ac:dyDescent="0.3">
      <c r="A5" s="32" t="s">
        <v>32</v>
      </c>
      <c r="B5" s="20">
        <v>-4810</v>
      </c>
      <c r="C5" s="20">
        <v>-4100.5</v>
      </c>
      <c r="D5" s="20">
        <v>-3899.3900000000003</v>
      </c>
      <c r="E5" s="20">
        <v>-3973.16</v>
      </c>
      <c r="F5" s="20">
        <v>-3210</v>
      </c>
      <c r="G5" s="20">
        <v>-3730</v>
      </c>
      <c r="H5" s="20">
        <v>-3005</v>
      </c>
      <c r="I5" s="20">
        <v>-3989.5</v>
      </c>
      <c r="J5" s="20">
        <v>-2748.5</v>
      </c>
      <c r="K5" s="20">
        <v>-2830</v>
      </c>
      <c r="L5" s="20">
        <v>-3500</v>
      </c>
      <c r="M5" s="20">
        <v>-4080</v>
      </c>
      <c r="N5" s="20">
        <v>-43876.05</v>
      </c>
    </row>
    <row r="6" spans="1:14" x14ac:dyDescent="0.3">
      <c r="A6" s="33" t="s">
        <v>18</v>
      </c>
      <c r="B6" s="20">
        <v>-2000</v>
      </c>
      <c r="C6" s="20">
        <v>-2000</v>
      </c>
      <c r="D6" s="20">
        <v>-2000</v>
      </c>
      <c r="E6" s="20">
        <v>-2000</v>
      </c>
      <c r="F6" s="20">
        <v>-2000</v>
      </c>
      <c r="G6" s="20">
        <v>-2000</v>
      </c>
      <c r="H6" s="20">
        <v>-2000</v>
      </c>
      <c r="I6" s="20">
        <v>-2000</v>
      </c>
      <c r="J6" s="20">
        <v>-2000</v>
      </c>
      <c r="K6" s="20">
        <v>-2000</v>
      </c>
      <c r="L6" s="20">
        <v>-2000</v>
      </c>
      <c r="M6" s="20">
        <v>-2000</v>
      </c>
      <c r="N6" s="20">
        <v>-24000</v>
      </c>
    </row>
    <row r="7" spans="1:14" x14ac:dyDescent="0.3">
      <c r="A7" s="33" t="s">
        <v>22</v>
      </c>
      <c r="B7" s="20">
        <v>-80</v>
      </c>
      <c r="C7" s="20"/>
      <c r="D7" s="20">
        <v>-469.9</v>
      </c>
      <c r="E7" s="20">
        <v>-149</v>
      </c>
      <c r="F7" s="20"/>
      <c r="G7" s="20">
        <v>-300</v>
      </c>
      <c r="H7" s="20">
        <v>250</v>
      </c>
      <c r="I7" s="20">
        <v>-300</v>
      </c>
      <c r="J7" s="20"/>
      <c r="K7" s="20"/>
      <c r="L7" s="20">
        <v>-158</v>
      </c>
      <c r="M7" s="20">
        <v>-120</v>
      </c>
      <c r="N7" s="20">
        <v>-1326.9</v>
      </c>
    </row>
    <row r="8" spans="1:14" x14ac:dyDescent="0.3">
      <c r="A8" s="33" t="s">
        <v>20</v>
      </c>
      <c r="B8" s="20">
        <v>-85</v>
      </c>
      <c r="C8" s="20">
        <v>-350</v>
      </c>
      <c r="D8" s="20">
        <v>-200</v>
      </c>
      <c r="E8" s="20">
        <v>-1057.9000000000001</v>
      </c>
      <c r="F8" s="20">
        <v>-80</v>
      </c>
      <c r="G8" s="20">
        <v>-200</v>
      </c>
      <c r="H8" s="20">
        <v>-700</v>
      </c>
      <c r="I8" s="20">
        <v>-250</v>
      </c>
      <c r="J8" s="20">
        <v>-20</v>
      </c>
      <c r="K8" s="20">
        <v>-40</v>
      </c>
      <c r="L8" s="20">
        <v>-214</v>
      </c>
      <c r="M8" s="20">
        <v>-450</v>
      </c>
      <c r="N8" s="20">
        <v>-3646.9</v>
      </c>
    </row>
    <row r="9" spans="1:14" x14ac:dyDescent="0.3">
      <c r="A9" s="33" t="s">
        <v>17</v>
      </c>
      <c r="B9" s="20">
        <v>-1715</v>
      </c>
      <c r="C9" s="20">
        <v>-405.5</v>
      </c>
      <c r="D9" s="20">
        <v>-734.99</v>
      </c>
      <c r="E9" s="20">
        <v>-372.26</v>
      </c>
      <c r="F9" s="20">
        <v>-1000</v>
      </c>
      <c r="G9" s="20">
        <v>-1000</v>
      </c>
      <c r="H9" s="20">
        <v>-165</v>
      </c>
      <c r="I9" s="20">
        <v>-749.5</v>
      </c>
      <c r="J9" s="20">
        <v>-538.5</v>
      </c>
      <c r="K9" s="20">
        <v>-600</v>
      </c>
      <c r="L9" s="20">
        <v>-506</v>
      </c>
      <c r="M9" s="20">
        <v>-700</v>
      </c>
      <c r="N9" s="20">
        <v>-8486.75</v>
      </c>
    </row>
    <row r="10" spans="1:14" x14ac:dyDescent="0.3">
      <c r="A10" s="33" t="s">
        <v>21</v>
      </c>
      <c r="B10" s="20">
        <v>-100</v>
      </c>
      <c r="C10" s="20">
        <v>-250</v>
      </c>
      <c r="D10" s="20">
        <v>-9.5</v>
      </c>
      <c r="E10" s="20">
        <v>-23.5</v>
      </c>
      <c r="F10" s="20"/>
      <c r="G10" s="20">
        <v>-100</v>
      </c>
      <c r="H10" s="20">
        <v>-300</v>
      </c>
      <c r="I10" s="20">
        <v>-400</v>
      </c>
      <c r="J10" s="20"/>
      <c r="K10" s="20"/>
      <c r="L10" s="20">
        <v>-133</v>
      </c>
      <c r="M10" s="20">
        <v>-10</v>
      </c>
      <c r="N10" s="20">
        <v>-1326</v>
      </c>
    </row>
    <row r="11" spans="1:14" x14ac:dyDescent="0.3">
      <c r="A11" s="33" t="s">
        <v>19</v>
      </c>
      <c r="B11" s="20">
        <v>-150</v>
      </c>
      <c r="C11" s="20">
        <v>-150</v>
      </c>
      <c r="D11" s="20">
        <v>-23</v>
      </c>
      <c r="E11" s="20">
        <v>-49</v>
      </c>
      <c r="F11" s="20">
        <v>-50</v>
      </c>
      <c r="G11" s="20">
        <v>-50</v>
      </c>
      <c r="H11" s="20"/>
      <c r="I11" s="20"/>
      <c r="J11" s="20">
        <v>-40</v>
      </c>
      <c r="K11" s="20">
        <v>-40</v>
      </c>
      <c r="L11" s="20">
        <v>-47</v>
      </c>
      <c r="M11" s="20"/>
      <c r="N11" s="20">
        <v>-599</v>
      </c>
    </row>
    <row r="12" spans="1:14" x14ac:dyDescent="0.3">
      <c r="A12" s="33" t="s">
        <v>24</v>
      </c>
      <c r="B12" s="20">
        <v>-500</v>
      </c>
      <c r="C12" s="20">
        <v>-765</v>
      </c>
      <c r="D12" s="20">
        <v>-300</v>
      </c>
      <c r="E12" s="20">
        <v>-100</v>
      </c>
      <c r="F12" s="20"/>
      <c r="G12" s="20"/>
      <c r="H12" s="20"/>
      <c r="I12" s="20"/>
      <c r="J12" s="20"/>
      <c r="K12" s="20"/>
      <c r="L12" s="20">
        <v>-234</v>
      </c>
      <c r="M12" s="20">
        <v>-700</v>
      </c>
      <c r="N12" s="20">
        <v>-2599</v>
      </c>
    </row>
    <row r="13" spans="1:14" x14ac:dyDescent="0.3">
      <c r="A13" s="33" t="s">
        <v>23</v>
      </c>
      <c r="B13" s="20">
        <v>-100</v>
      </c>
      <c r="C13" s="20">
        <v>-100</v>
      </c>
      <c r="D13" s="20">
        <v>-79.5</v>
      </c>
      <c r="E13" s="20">
        <v>-139</v>
      </c>
      <c r="F13" s="20"/>
      <c r="G13" s="20"/>
      <c r="H13" s="20"/>
      <c r="I13" s="20"/>
      <c r="J13" s="20"/>
      <c r="K13" s="20"/>
      <c r="L13" s="20"/>
      <c r="M13" s="20">
        <v>-100</v>
      </c>
      <c r="N13" s="20">
        <v>-518.5</v>
      </c>
    </row>
    <row r="14" spans="1:14" x14ac:dyDescent="0.3">
      <c r="A14" s="33" t="s">
        <v>16</v>
      </c>
      <c r="B14" s="20">
        <v>-80</v>
      </c>
      <c r="C14" s="20">
        <v>-80</v>
      </c>
      <c r="D14" s="20">
        <v>-82.5</v>
      </c>
      <c r="E14" s="20">
        <v>-82.5</v>
      </c>
      <c r="F14" s="20">
        <v>-80</v>
      </c>
      <c r="G14" s="20">
        <v>-80</v>
      </c>
      <c r="H14" s="20">
        <v>-90</v>
      </c>
      <c r="I14" s="20">
        <v>-290</v>
      </c>
      <c r="J14" s="20">
        <v>-150</v>
      </c>
      <c r="K14" s="20">
        <v>-150</v>
      </c>
      <c r="L14" s="20">
        <v>-208</v>
      </c>
      <c r="M14" s="20"/>
      <c r="N14" s="20">
        <v>-1373</v>
      </c>
    </row>
    <row r="15" spans="1:14" x14ac:dyDescent="0.3">
      <c r="A15" s="32" t="s">
        <v>33</v>
      </c>
      <c r="B15" s="20">
        <v>5655.5</v>
      </c>
      <c r="C15" s="20">
        <v>6565</v>
      </c>
      <c r="D15" s="20">
        <v>4655</v>
      </c>
      <c r="E15" s="20">
        <v>4700</v>
      </c>
      <c r="F15" s="20">
        <v>4500</v>
      </c>
      <c r="G15" s="20">
        <v>4900</v>
      </c>
      <c r="H15" s="20">
        <v>5920</v>
      </c>
      <c r="I15" s="20">
        <v>5400</v>
      </c>
      <c r="J15" s="20">
        <v>4500</v>
      </c>
      <c r="K15" s="20">
        <v>4500</v>
      </c>
      <c r="L15" s="20">
        <v>4900</v>
      </c>
      <c r="M15" s="20">
        <v>6500</v>
      </c>
      <c r="N15" s="20">
        <v>62695.5</v>
      </c>
    </row>
    <row r="16" spans="1:14" x14ac:dyDescent="0.3">
      <c r="A16" s="33" t="s">
        <v>25</v>
      </c>
      <c r="B16" s="20">
        <v>250</v>
      </c>
      <c r="C16" s="20"/>
      <c r="D16" s="20"/>
      <c r="E16" s="20"/>
      <c r="F16" s="20"/>
      <c r="G16" s="20">
        <v>400</v>
      </c>
      <c r="H16" s="20"/>
      <c r="I16" s="20"/>
      <c r="J16" s="20"/>
      <c r="K16" s="20"/>
      <c r="L16" s="20"/>
      <c r="M16" s="20"/>
      <c r="N16" s="20">
        <v>650</v>
      </c>
    </row>
    <row r="17" spans="1:14" x14ac:dyDescent="0.3">
      <c r="A17" s="33" t="s">
        <v>28</v>
      </c>
      <c r="B17" s="20">
        <v>105.5</v>
      </c>
      <c r="C17" s="20">
        <v>115</v>
      </c>
      <c r="D17" s="20">
        <v>150</v>
      </c>
      <c r="E17" s="20">
        <v>150</v>
      </c>
      <c r="F17" s="20"/>
      <c r="G17" s="20"/>
      <c r="H17" s="20">
        <v>120</v>
      </c>
      <c r="I17" s="20"/>
      <c r="J17" s="20"/>
      <c r="K17" s="20"/>
      <c r="L17" s="20"/>
      <c r="M17" s="20"/>
      <c r="N17" s="20">
        <v>640.5</v>
      </c>
    </row>
    <row r="18" spans="1:14" x14ac:dyDescent="0.3">
      <c r="A18" s="33" t="s">
        <v>29</v>
      </c>
      <c r="B18" s="20"/>
      <c r="C18" s="20"/>
      <c r="D18" s="20">
        <v>5</v>
      </c>
      <c r="E18" s="20">
        <v>50</v>
      </c>
      <c r="F18" s="20"/>
      <c r="G18" s="20"/>
      <c r="H18" s="20">
        <v>800</v>
      </c>
      <c r="I18" s="20">
        <v>400</v>
      </c>
      <c r="J18" s="20"/>
      <c r="K18" s="20"/>
      <c r="L18" s="20">
        <v>400</v>
      </c>
      <c r="M18" s="20">
        <v>2000</v>
      </c>
      <c r="N18" s="20">
        <v>3655</v>
      </c>
    </row>
    <row r="19" spans="1:14" x14ac:dyDescent="0.3">
      <c r="A19" s="33" t="s">
        <v>30</v>
      </c>
      <c r="B19" s="20">
        <v>800</v>
      </c>
      <c r="C19" s="20">
        <v>1950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>
        <v>2750</v>
      </c>
    </row>
    <row r="20" spans="1:14" x14ac:dyDescent="0.3">
      <c r="A20" s="33" t="s">
        <v>26</v>
      </c>
      <c r="B20" s="20">
        <v>4500</v>
      </c>
      <c r="C20" s="20">
        <v>4500</v>
      </c>
      <c r="D20" s="20">
        <v>4500</v>
      </c>
      <c r="E20" s="20">
        <v>4500</v>
      </c>
      <c r="F20" s="20">
        <v>4500</v>
      </c>
      <c r="G20" s="20">
        <v>4500</v>
      </c>
      <c r="H20" s="20">
        <v>4500</v>
      </c>
      <c r="I20" s="20">
        <v>4500</v>
      </c>
      <c r="J20" s="20">
        <v>4500</v>
      </c>
      <c r="K20" s="20">
        <v>4500</v>
      </c>
      <c r="L20" s="20">
        <v>4500</v>
      </c>
      <c r="M20" s="20">
        <v>4500</v>
      </c>
      <c r="N20" s="20">
        <v>54000</v>
      </c>
    </row>
    <row r="21" spans="1:14" x14ac:dyDescent="0.3">
      <c r="A21" s="33" t="s">
        <v>27</v>
      </c>
      <c r="B21" s="20"/>
      <c r="C21" s="20"/>
      <c r="D21" s="20"/>
      <c r="E21" s="20"/>
      <c r="F21" s="20"/>
      <c r="G21" s="20"/>
      <c r="H21" s="20">
        <v>500</v>
      </c>
      <c r="I21" s="20">
        <v>500</v>
      </c>
      <c r="J21" s="20"/>
      <c r="K21" s="20"/>
      <c r="L21" s="20"/>
      <c r="M21" s="20"/>
      <c r="N21" s="20">
        <v>1000</v>
      </c>
    </row>
    <row r="22" spans="1:14" x14ac:dyDescent="0.3">
      <c r="A22" s="32" t="s">
        <v>31</v>
      </c>
      <c r="B22" s="20"/>
      <c r="C22" s="20">
        <v>0</v>
      </c>
      <c r="D22" s="20"/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/>
      <c r="N22" s="20">
        <v>0</v>
      </c>
    </row>
    <row r="23" spans="1:14" x14ac:dyDescent="0.3">
      <c r="A23" s="33" t="s">
        <v>31</v>
      </c>
      <c r="B23" s="20"/>
      <c r="C23" s="20">
        <v>0</v>
      </c>
      <c r="D23" s="20"/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/>
      <c r="N23" s="20">
        <v>0</v>
      </c>
    </row>
    <row r="24" spans="1:14" x14ac:dyDescent="0.3">
      <c r="A24" s="32" t="s">
        <v>53</v>
      </c>
      <c r="B24" s="20">
        <v>845.5</v>
      </c>
      <c r="C24" s="20">
        <v>2464.5</v>
      </c>
      <c r="D24" s="20">
        <v>755.60999999999967</v>
      </c>
      <c r="E24" s="20">
        <v>726.84000000000015</v>
      </c>
      <c r="F24" s="20">
        <v>1290</v>
      </c>
      <c r="G24" s="20">
        <v>1170</v>
      </c>
      <c r="H24" s="20">
        <v>2915</v>
      </c>
      <c r="I24" s="20">
        <v>1410.5</v>
      </c>
      <c r="J24" s="20">
        <v>1751.5</v>
      </c>
      <c r="K24" s="20">
        <v>1670</v>
      </c>
      <c r="L24" s="20">
        <v>1400</v>
      </c>
      <c r="M24" s="20">
        <v>2420</v>
      </c>
      <c r="N24" s="20">
        <v>18819.449999999997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DB42-AEAF-4104-BB3B-345434C975C5}">
  <dimension ref="A1:I17"/>
  <sheetViews>
    <sheetView zoomScale="82" zoomScaleNormal="82" workbookViewId="0">
      <selection activeCell="E11" sqref="E11"/>
    </sheetView>
  </sheetViews>
  <sheetFormatPr defaultRowHeight="14.4" x14ac:dyDescent="0.3"/>
  <cols>
    <col min="1" max="1" width="22" customWidth="1"/>
    <col min="4" max="4" width="13.6640625" customWidth="1"/>
    <col min="5" max="5" width="19.5546875" customWidth="1"/>
    <col min="7" max="7" width="18.33203125" customWidth="1"/>
    <col min="8" max="8" width="20.109375" customWidth="1"/>
    <col min="9" max="9" width="12.6640625" customWidth="1"/>
  </cols>
  <sheetData>
    <row r="1" spans="1:9" x14ac:dyDescent="0.3">
      <c r="A1" t="s">
        <v>3</v>
      </c>
      <c r="B1" t="s">
        <v>4</v>
      </c>
      <c r="D1" s="1" t="s">
        <v>0</v>
      </c>
      <c r="E1" s="1" t="s">
        <v>2</v>
      </c>
      <c r="G1" s="7" t="s">
        <v>11</v>
      </c>
      <c r="H1" s="8" t="s">
        <v>7</v>
      </c>
      <c r="I1" s="9" t="s">
        <v>13</v>
      </c>
    </row>
    <row r="2" spans="1:9" x14ac:dyDescent="0.3">
      <c r="A2" s="1" t="s">
        <v>18</v>
      </c>
      <c r="B2" t="s">
        <v>32</v>
      </c>
      <c r="D2" s="1" t="s">
        <v>11</v>
      </c>
      <c r="E2" s="1" t="s">
        <v>8</v>
      </c>
      <c r="G2" s="10" t="s">
        <v>8</v>
      </c>
      <c r="H2" s="11" t="s">
        <v>8</v>
      </c>
      <c r="I2" s="12" t="s">
        <v>15</v>
      </c>
    </row>
    <row r="3" spans="1:9" x14ac:dyDescent="0.3">
      <c r="A3" s="1" t="s">
        <v>25</v>
      </c>
      <c r="B3" t="s">
        <v>33</v>
      </c>
      <c r="D3" s="1" t="s">
        <v>11</v>
      </c>
      <c r="E3" s="1" t="s">
        <v>12</v>
      </c>
      <c r="G3" s="10" t="s">
        <v>12</v>
      </c>
      <c r="H3" s="11" t="s">
        <v>9</v>
      </c>
      <c r="I3" s="12" t="s">
        <v>14</v>
      </c>
    </row>
    <row r="4" spans="1:9" x14ac:dyDescent="0.3">
      <c r="A4" s="1" t="s">
        <v>22</v>
      </c>
      <c r="B4" t="s">
        <v>32</v>
      </c>
      <c r="D4" s="1" t="s">
        <v>7</v>
      </c>
      <c r="E4" s="1" t="s">
        <v>8</v>
      </c>
      <c r="G4" s="13"/>
      <c r="H4" s="11" t="s">
        <v>10</v>
      </c>
      <c r="I4" s="14"/>
    </row>
    <row r="5" spans="1:9" x14ac:dyDescent="0.3">
      <c r="A5" s="1" t="s">
        <v>20</v>
      </c>
      <c r="B5" t="s">
        <v>32</v>
      </c>
      <c r="D5" s="1" t="s">
        <v>7</v>
      </c>
      <c r="E5" s="1" t="s">
        <v>9</v>
      </c>
      <c r="G5" s="13"/>
      <c r="H5" s="15"/>
      <c r="I5" s="14"/>
    </row>
    <row r="6" spans="1:9" x14ac:dyDescent="0.3">
      <c r="A6" s="1" t="s">
        <v>28</v>
      </c>
      <c r="B6" t="s">
        <v>33</v>
      </c>
      <c r="D6" s="1" t="s">
        <v>7</v>
      </c>
      <c r="E6" s="1" t="s">
        <v>10</v>
      </c>
      <c r="G6" s="13"/>
      <c r="H6" s="15"/>
      <c r="I6" s="14"/>
    </row>
    <row r="7" spans="1:9" x14ac:dyDescent="0.3">
      <c r="A7" s="1" t="s">
        <v>29</v>
      </c>
      <c r="B7" t="s">
        <v>33</v>
      </c>
      <c r="D7" s="1" t="s">
        <v>13</v>
      </c>
      <c r="E7" s="1" t="s">
        <v>15</v>
      </c>
      <c r="G7" s="13"/>
      <c r="H7" s="15"/>
      <c r="I7" s="14"/>
    </row>
    <row r="8" spans="1:9" ht="15" thickBot="1" x14ac:dyDescent="0.35">
      <c r="A8" s="1" t="s">
        <v>17</v>
      </c>
      <c r="B8" t="s">
        <v>32</v>
      </c>
      <c r="D8" s="1" t="s">
        <v>13</v>
      </c>
      <c r="E8" s="1" t="s">
        <v>14</v>
      </c>
      <c r="G8" s="16"/>
      <c r="H8" s="17"/>
      <c r="I8" s="18"/>
    </row>
    <row r="9" spans="1:9" x14ac:dyDescent="0.3">
      <c r="A9" s="1" t="s">
        <v>21</v>
      </c>
      <c r="B9" t="s">
        <v>32</v>
      </c>
    </row>
    <row r="10" spans="1:9" x14ac:dyDescent="0.3">
      <c r="A10" s="1" t="s">
        <v>19</v>
      </c>
      <c r="B10" t="s">
        <v>32</v>
      </c>
    </row>
    <row r="11" spans="1:9" x14ac:dyDescent="0.3">
      <c r="A11" s="1" t="s">
        <v>24</v>
      </c>
      <c r="B11" t="s">
        <v>32</v>
      </c>
    </row>
    <row r="12" spans="1:9" x14ac:dyDescent="0.3">
      <c r="A12" s="1" t="s">
        <v>30</v>
      </c>
      <c r="B12" t="s">
        <v>33</v>
      </c>
    </row>
    <row r="13" spans="1:9" x14ac:dyDescent="0.3">
      <c r="A13" s="1" t="s">
        <v>26</v>
      </c>
      <c r="B13" t="s">
        <v>33</v>
      </c>
    </row>
    <row r="14" spans="1:9" x14ac:dyDescent="0.3">
      <c r="A14" s="1" t="s">
        <v>27</v>
      </c>
      <c r="B14" t="s">
        <v>33</v>
      </c>
    </row>
    <row r="15" spans="1:9" x14ac:dyDescent="0.3">
      <c r="A15" s="1" t="s">
        <v>23</v>
      </c>
      <c r="B15" t="s">
        <v>32</v>
      </c>
    </row>
    <row r="16" spans="1:9" x14ac:dyDescent="0.3">
      <c r="A16" s="1" t="s">
        <v>31</v>
      </c>
      <c r="B16" t="s">
        <v>31</v>
      </c>
    </row>
    <row r="17" spans="1:2" x14ac:dyDescent="0.3">
      <c r="A17" s="1" t="s">
        <v>16</v>
      </c>
      <c r="B17" t="s">
        <v>32</v>
      </c>
    </row>
  </sheetData>
  <sortState xmlns:xlrd2="http://schemas.microsoft.com/office/spreadsheetml/2017/richdata2" ref="A2:B17">
    <sortCondition ref="A1:A17"/>
  </sortState>
  <dataValidations count="1">
    <dataValidation type="list" allowBlank="1" showInputMessage="1" showErrorMessage="1" sqref="B2:B17" xr:uid="{4DE2A8F4-9209-41DC-A95A-5A42714406A0}">
      <formula1>"Income, Expense, Transfer"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77F6-7D46-442B-B33F-C9C4A8E1A145}">
  <dimension ref="A1:K17"/>
  <sheetViews>
    <sheetView tabSelected="1" workbookViewId="0">
      <selection activeCell="B11" sqref="B11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6.5546875" customWidth="1"/>
    <col min="7" max="7" width="18" customWidth="1"/>
    <col min="8" max="8" width="24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>
        <v>100</v>
      </c>
      <c r="D2" s="4">
        <f ca="1">SUMIFS(operations[Amount],operations[Bank],Flow1[[#This Row],[Bank]],operations[Product],Flow1[[#This Row],[Product]],operations[Month],$B$11)</f>
        <v>-35</v>
      </c>
      <c r="E2" s="4">
        <f ca="1">Flow1[[#This Row],[Opening balance]]+Flow1[[#This Row],[Operations]]</f>
        <v>65</v>
      </c>
      <c r="G2" t="s">
        <v>25</v>
      </c>
      <c r="H2" s="4">
        <f ca="1">SUMIFS(operations[Amount], operations[Category], Incomes1[[#This Row],[Category]], operations[Month], $B$11)</f>
        <v>250</v>
      </c>
      <c r="J2" t="s">
        <v>18</v>
      </c>
      <c r="K2" s="4">
        <f ca="1">SUMIFS(operations[Amount], operations[Category], Expenses1[[#This Row],[Category]], operations[Month], $B$11)</f>
        <v>-2000</v>
      </c>
    </row>
    <row r="3" spans="1:11" x14ac:dyDescent="0.3">
      <c r="A3" t="s">
        <v>11</v>
      </c>
      <c r="B3" t="s">
        <v>12</v>
      </c>
      <c r="C3" s="4">
        <v>10.5</v>
      </c>
      <c r="D3" s="4">
        <f ca="1">SUMIFS(operations[Amount],operations[Bank],Flow1[[#This Row],[Bank]],operations[Product],Flow1[[#This Row],[Product]],operations[Month],$B$11)</f>
        <v>255.5</v>
      </c>
      <c r="E3" s="4">
        <f ca="1">Flow1[[#This Row],[Opening balance]]+Flow1[[#This Row],[Operations]]</f>
        <v>266</v>
      </c>
      <c r="G3" t="s">
        <v>28</v>
      </c>
      <c r="H3" s="4">
        <f ca="1">SUMIFS(operations[Amount], operations[Category], Incomes1[[#This Row],[Category]], operations[Month], $B$11)</f>
        <v>105.5</v>
      </c>
      <c r="J3" t="s">
        <v>22</v>
      </c>
      <c r="K3" s="4">
        <f ca="1">SUMIFS(operations[Amount], operations[Category], Expenses1[[#This Row],[Category]], operations[Month], $B$11)</f>
        <v>-80</v>
      </c>
    </row>
    <row r="4" spans="1:11" x14ac:dyDescent="0.3">
      <c r="A4" t="s">
        <v>7</v>
      </c>
      <c r="B4" t="s">
        <v>8</v>
      </c>
      <c r="C4" s="4">
        <v>600</v>
      </c>
      <c r="D4" s="4">
        <f ca="1">SUMIFS(operations[Amount],operations[Bank],Flow1[[#This Row],[Bank]],operations[Product],Flow1[[#This Row],[Product]],operations[Month],$B$11)</f>
        <v>1100</v>
      </c>
      <c r="E4" s="4">
        <f ca="1">Flow1[[#This Row],[Opening balance]]+Flow1[[#This Row],[Operations]]</f>
        <v>1700</v>
      </c>
      <c r="G4" t="s">
        <v>29</v>
      </c>
      <c r="H4" s="4">
        <f ca="1">SUMIFS(operations[Amount], operations[Category], Incomes1[[#This Row],[Category]], operations[Month], $B$11)</f>
        <v>0</v>
      </c>
      <c r="J4" t="s">
        <v>20</v>
      </c>
      <c r="K4" s="4">
        <f ca="1">SUMIFS(operations[Amount], operations[Category], Expenses1[[#This Row],[Category]], operations[Month], $B$11)</f>
        <v>-85</v>
      </c>
    </row>
    <row r="5" spans="1:11" x14ac:dyDescent="0.3">
      <c r="A5" t="s">
        <v>7</v>
      </c>
      <c r="B5" t="s">
        <v>9</v>
      </c>
      <c r="C5" s="4">
        <v>0</v>
      </c>
      <c r="D5" s="4">
        <f ca="1">SUMIFS(operations[Amount],operations[Bank],Flow1[[#This Row],[Bank]],operations[Product],Flow1[[#This Row],[Product]],operations[Month],$B$11)</f>
        <v>-175</v>
      </c>
      <c r="E5" s="4">
        <f ca="1">Flow1[[#This Row],[Opening balance]]+Flow1[[#This Row],[Operations]]</f>
        <v>-175</v>
      </c>
      <c r="G5" t="s">
        <v>30</v>
      </c>
      <c r="H5" s="4">
        <f ca="1">SUMIFS(operations[Amount], operations[Category], Incomes1[[#This Row],[Category]], operations[Month], $B$11)</f>
        <v>800</v>
      </c>
      <c r="J5" t="s">
        <v>17</v>
      </c>
      <c r="K5" s="4">
        <f ca="1">SUMIFS(operations[Amount], operations[Category], Expenses1[[#This Row],[Category]], operations[Month], $B$11)</f>
        <v>-1715</v>
      </c>
    </row>
    <row r="6" spans="1:11" x14ac:dyDescent="0.3">
      <c r="A6" t="s">
        <v>7</v>
      </c>
      <c r="B6" t="s">
        <v>10</v>
      </c>
      <c r="C6" s="4">
        <v>2000</v>
      </c>
      <c r="D6" s="4">
        <f ca="1">SUMIFS(operations[Amount],operations[Bank],Flow1[[#This Row],[Bank]],operations[Product],Flow1[[#This Row],[Product]],operations[Month],$B$11)</f>
        <v>-400</v>
      </c>
      <c r="E6" s="4">
        <f ca="1">Flow1[[#This Row],[Opening balance]]+Flow1[[#This Row],[Operations]]</f>
        <v>1600</v>
      </c>
      <c r="G6" t="s">
        <v>26</v>
      </c>
      <c r="H6" s="4">
        <f ca="1">SUMIFS(operations[Amount], operations[Category], Incomes1[[#This Row],[Category]], operations[Month], $B$11)</f>
        <v>4500</v>
      </c>
      <c r="J6" t="s">
        <v>21</v>
      </c>
      <c r="K6" s="4">
        <f ca="1">SUMIFS(operations[Amount], operations[Category], Expenses1[[#This Row],[Category]], operations[Month], $B$11)</f>
        <v>-100</v>
      </c>
    </row>
    <row r="7" spans="1:11" x14ac:dyDescent="0.3">
      <c r="A7" t="s">
        <v>13</v>
      </c>
      <c r="B7" t="s">
        <v>15</v>
      </c>
      <c r="C7" s="4">
        <v>200</v>
      </c>
      <c r="D7" s="4">
        <f ca="1">SUMIFS(operations[Amount],operations[Bank],Flow1[[#This Row],[Bank]],operations[Product],Flow1[[#This Row],[Product]],operations[Month],$B$11)</f>
        <v>-50</v>
      </c>
      <c r="E7" s="4">
        <f ca="1">Flow1[[#This Row],[Opening balance]]+Flow1[[#This Row],[Operations]]</f>
        <v>150</v>
      </c>
      <c r="G7" t="s">
        <v>27</v>
      </c>
      <c r="H7" s="4">
        <f ca="1">SUMIFS(operations[Amount], operations[Category], Incomes1[[#This Row],[Category]], operations[Month], $B$11)</f>
        <v>0</v>
      </c>
      <c r="J7" t="s">
        <v>19</v>
      </c>
      <c r="K7" s="4">
        <f ca="1">SUMIFS(operations[Amount], operations[Category], Expenses1[[#This Row],[Category]], operations[Month], $B$11)</f>
        <v>-150</v>
      </c>
    </row>
    <row r="8" spans="1:11" x14ac:dyDescent="0.3">
      <c r="A8" t="s">
        <v>13</v>
      </c>
      <c r="B8" t="s">
        <v>14</v>
      </c>
      <c r="C8" s="4">
        <v>30</v>
      </c>
      <c r="D8" s="4">
        <f ca="1">SUMIFS(operations[Amount],operations[Bank],Flow1[[#This Row],[Bank]],operations[Product],Flow1[[#This Row],[Product]],operations[Month],$B$11)</f>
        <v>150</v>
      </c>
      <c r="E8" s="4">
        <f ca="1">Flow1[[#This Row],[Opening balance]]+Flow1[[#This Row],[Operations]]</f>
        <v>180</v>
      </c>
      <c r="G8" t="s">
        <v>34</v>
      </c>
      <c r="H8" s="4">
        <f ca="1">SUBTOTAL(9,Incomes1[Total])</f>
        <v>5655.5</v>
      </c>
      <c r="J8" t="s">
        <v>24</v>
      </c>
      <c r="K8" s="4">
        <f ca="1">SUMIFS(operations[Amount], operations[Category], Expenses1[[#This Row],[Category]], operations[Month], $B$11)</f>
        <v>-500</v>
      </c>
    </row>
    <row r="9" spans="1:11" x14ac:dyDescent="0.3">
      <c r="A9" t="s">
        <v>34</v>
      </c>
      <c r="C9" s="4">
        <f>SUBTOTAL(9,Flow1[Opening balance])</f>
        <v>2940.5</v>
      </c>
      <c r="D9" s="4">
        <f ca="1">SUBTOTAL(109,Flow1[Operations])</f>
        <v>845.5</v>
      </c>
      <c r="E9" s="4">
        <f ca="1">SUBTOTAL(109,Flow1[Closing balance])</f>
        <v>3786</v>
      </c>
      <c r="J9" t="s">
        <v>23</v>
      </c>
      <c r="K9" s="4">
        <f ca="1">SUMIFS(operations[Amount], operations[Category], Expenses1[[#This Row],[Category]], operations[Month], $B$11)</f>
        <v>-100</v>
      </c>
    </row>
    <row r="10" spans="1:11" x14ac:dyDescent="0.3">
      <c r="J10" t="s">
        <v>16</v>
      </c>
      <c r="K10" s="4">
        <f ca="1">SUMIFS(operations[Amount], operations[Category], Expenses1[[#This Row],[Category]], operations[Month], $B$11)</f>
        <v>-80</v>
      </c>
    </row>
    <row r="11" spans="1:11" ht="15" thickBot="1" x14ac:dyDescent="0.35">
      <c r="A11" s="5" t="s">
        <v>6</v>
      </c>
      <c r="B11" s="19" t="str" cm="1">
        <f t="array" aca="1" ref="B11" ca="1">_xlfn.TEXTAFTER(CELL("filename",A1),"]")</f>
        <v>1</v>
      </c>
      <c r="C11" s="6"/>
      <c r="J11" t="s">
        <v>34</v>
      </c>
      <c r="K11" s="4">
        <f ca="1">SUBTOTAL(9,Expenses1[Total])</f>
        <v>-4810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>
        <f ca="1">SUMIFS(operations[Amount], operations[Type], Total1[[#This Row],[Type]], operations[Month], $B$11)</f>
        <v>-4810</v>
      </c>
    </row>
    <row r="15" spans="1:11" x14ac:dyDescent="0.3">
      <c r="A15" t="s">
        <v>33</v>
      </c>
      <c r="B15" s="4">
        <f ca="1">SUMIFS(operations[Amount], operations[Type], Total1[[#This Row],[Type]], operations[Month], $B$11)</f>
        <v>5655.5</v>
      </c>
    </row>
    <row r="16" spans="1:11" x14ac:dyDescent="0.3">
      <c r="A16" t="s">
        <v>31</v>
      </c>
      <c r="B16" s="4">
        <f ca="1">SUMIFS(operations[Amount], operations[Type], Total1[[#This Row],[Type]], operations[Month], $B$11)</f>
        <v>0</v>
      </c>
    </row>
    <row r="17" spans="1:2" x14ac:dyDescent="0.3">
      <c r="A17" t="s">
        <v>34</v>
      </c>
      <c r="B17" s="4">
        <f ca="1">SUBTOTAL(9,Total1[Total])</f>
        <v>845.5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F904-1ED8-4559-B650-D2A592E41D03}">
  <dimension ref="A1:K17"/>
  <sheetViews>
    <sheetView workbookViewId="0">
      <selection activeCell="J10" sqref="J10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6.5546875" customWidth="1"/>
    <col min="7" max="7" width="18" customWidth="1"/>
    <col min="8" max="8" width="24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 cm="1">
        <f t="array" aca="1" ref="C2" ca="1">INDIRECT("Flow" &amp; $B$11-1 &amp; "[@[Closing balance]]")</f>
        <v>65</v>
      </c>
      <c r="D2" s="4">
        <f ca="1">SUMIFS(operations[Amount],operations[Bank],Flow2[[#This Row],[Bank]],operations[Product],Flow2[[#This Row],[Product]],operations[Month],$B$11)</f>
        <v>35</v>
      </c>
      <c r="E2" s="4">
        <f ca="1">Flow2[[#This Row],[Opening balance]]+Flow2[[#This Row],[Operations]]</f>
        <v>100</v>
      </c>
      <c r="G2" t="s">
        <v>25</v>
      </c>
      <c r="H2" s="4">
        <f ca="1">SUMIFS(operations[Amount], operations[Category], Incomes2[[#This Row],[Category]], operations[Month], $B$11)</f>
        <v>0</v>
      </c>
      <c r="J2" t="s">
        <v>18</v>
      </c>
      <c r="K2" s="4">
        <f ca="1">SUMIFS(operations[Amount], operations[Category], Expenses2[[#This Row],[Category]], operations[Month], $B$11)</f>
        <v>-2000</v>
      </c>
    </row>
    <row r="3" spans="1:11" x14ac:dyDescent="0.3">
      <c r="A3" t="s">
        <v>11</v>
      </c>
      <c r="B3" t="s">
        <v>12</v>
      </c>
      <c r="C3" s="4" cm="1">
        <f t="array" aca="1" ref="C3" ca="1">INDIRECT("Flow" &amp; $B$11-1 &amp; "[@[Closing balance]]")</f>
        <v>266</v>
      </c>
      <c r="D3" s="4">
        <f ca="1">SUMIFS(operations[Amount],operations[Bank],Flow2[[#This Row],[Bank]],operations[Product],Flow2[[#This Row],[Product]],operations[Month],$B$11)</f>
        <v>15</v>
      </c>
      <c r="E3" s="4">
        <f ca="1">Flow2[[#This Row],[Opening balance]]+Flow2[[#This Row],[Operations]]</f>
        <v>281</v>
      </c>
      <c r="G3" t="s">
        <v>28</v>
      </c>
      <c r="H3" s="4">
        <f ca="1">SUMIFS(operations[Amount], operations[Category], Incomes2[[#This Row],[Category]], operations[Month], $B$11)</f>
        <v>115</v>
      </c>
      <c r="J3" t="s">
        <v>22</v>
      </c>
      <c r="K3" s="4">
        <f ca="1">SUMIFS(operations[Amount], operations[Category], Expenses2[[#This Row],[Category]], operations[Month], $B$11)</f>
        <v>0</v>
      </c>
    </row>
    <row r="4" spans="1:11" x14ac:dyDescent="0.3">
      <c r="A4" t="s">
        <v>7</v>
      </c>
      <c r="B4" t="s">
        <v>8</v>
      </c>
      <c r="C4" s="4" cm="1">
        <f t="array" aca="1" ref="C4" ca="1">INDIRECT("Flow" &amp; $B$11-1 &amp; "[@[Closing balance]]")</f>
        <v>1700</v>
      </c>
      <c r="D4" s="4">
        <f ca="1">SUMIFS(operations[Amount],operations[Bank],Flow2[[#This Row],[Bank]],operations[Product],Flow2[[#This Row],[Product]],operations[Month],$B$11)</f>
        <v>2039.5</v>
      </c>
      <c r="E4" s="4">
        <f ca="1">Flow2[[#This Row],[Opening balance]]+Flow2[[#This Row],[Operations]]</f>
        <v>3739.5</v>
      </c>
      <c r="G4" t="s">
        <v>29</v>
      </c>
      <c r="H4" s="4">
        <f ca="1">SUMIFS(operations[Amount], operations[Category], Incomes2[[#This Row],[Category]], operations[Month], $B$11)</f>
        <v>0</v>
      </c>
      <c r="J4" t="s">
        <v>20</v>
      </c>
      <c r="K4" s="4">
        <f ca="1">SUMIFS(operations[Amount], operations[Category], Expenses2[[#This Row],[Category]], operations[Month], $B$11)</f>
        <v>-350</v>
      </c>
    </row>
    <row r="5" spans="1:11" x14ac:dyDescent="0.3">
      <c r="A5" t="s">
        <v>7</v>
      </c>
      <c r="B5" t="s">
        <v>9</v>
      </c>
      <c r="C5" s="4" cm="1">
        <f t="array" aca="1" ref="C5" ca="1">INDIRECT("Flow" &amp; $B$11-1 &amp; "[@[Closing balance]]")</f>
        <v>-175</v>
      </c>
      <c r="D5" s="4">
        <f ca="1">SUMIFS(operations[Amount],operations[Bank],Flow2[[#This Row],[Bank]],operations[Product],Flow2[[#This Row],[Product]],operations[Month],$B$11)</f>
        <v>175</v>
      </c>
      <c r="E5" s="4">
        <f ca="1">Flow2[[#This Row],[Opening balance]]+Flow2[[#This Row],[Operations]]</f>
        <v>0</v>
      </c>
      <c r="G5" t="s">
        <v>30</v>
      </c>
      <c r="H5" s="4">
        <f ca="1">SUMIFS(operations[Amount], operations[Category], Incomes2[[#This Row],[Category]], operations[Month], $B$11)</f>
        <v>1950</v>
      </c>
      <c r="J5" t="s">
        <v>17</v>
      </c>
      <c r="K5" s="4">
        <f ca="1">SUMIFS(operations[Amount], operations[Category], Expenses2[[#This Row],[Category]], operations[Month], $B$11)</f>
        <v>-405.5</v>
      </c>
    </row>
    <row r="6" spans="1:11" x14ac:dyDescent="0.3">
      <c r="A6" t="s">
        <v>7</v>
      </c>
      <c r="B6" t="s">
        <v>10</v>
      </c>
      <c r="C6" s="4" cm="1">
        <f t="array" aca="1" ref="C6" ca="1">INDIRECT("Flow" &amp; $B$11-1 &amp; "[@[Closing balance]]")</f>
        <v>1600</v>
      </c>
      <c r="D6" s="4">
        <f ca="1">SUMIFS(operations[Amount],operations[Bank],Flow2[[#This Row],[Bank]],operations[Product],Flow2[[#This Row],[Product]],operations[Month],$B$11)</f>
        <v>-400</v>
      </c>
      <c r="E6" s="4">
        <f ca="1">Flow2[[#This Row],[Opening balance]]+Flow2[[#This Row],[Operations]]</f>
        <v>1200</v>
      </c>
      <c r="G6" t="s">
        <v>26</v>
      </c>
      <c r="H6" s="4">
        <f ca="1">SUMIFS(operations[Amount], operations[Category], Incomes2[[#This Row],[Category]], operations[Month], $B$11)</f>
        <v>4500</v>
      </c>
      <c r="J6" t="s">
        <v>21</v>
      </c>
      <c r="K6" s="4">
        <f ca="1">SUMIFS(operations[Amount], operations[Category], Expenses2[[#This Row],[Category]], operations[Month], $B$11)</f>
        <v>-250</v>
      </c>
    </row>
    <row r="7" spans="1:11" x14ac:dyDescent="0.3">
      <c r="A7" t="s">
        <v>13</v>
      </c>
      <c r="B7" t="s">
        <v>15</v>
      </c>
      <c r="C7" s="4" cm="1">
        <f t="array" aca="1" ref="C7" ca="1">INDIRECT("Flow" &amp; $B$11-1 &amp; "[@[Closing balance]]")</f>
        <v>150</v>
      </c>
      <c r="D7" s="4">
        <f ca="1">SUMIFS(operations[Amount],operations[Bank],Flow2[[#This Row],[Bank]],operations[Product],Flow2[[#This Row],[Product]],operations[Month],$B$11)</f>
        <v>100</v>
      </c>
      <c r="E7" s="4">
        <f ca="1">Flow2[[#This Row],[Opening balance]]+Flow2[[#This Row],[Operations]]</f>
        <v>250</v>
      </c>
      <c r="G7" t="s">
        <v>27</v>
      </c>
      <c r="H7" s="4">
        <f ca="1">SUMIFS(operations[Amount], operations[Category], Incomes2[[#This Row],[Category]], operations[Month], $B$11)</f>
        <v>0</v>
      </c>
      <c r="J7" t="s">
        <v>19</v>
      </c>
      <c r="K7" s="4">
        <f ca="1">SUMIFS(operations[Amount], operations[Category], Expenses2[[#This Row],[Category]], operations[Month], $B$11)</f>
        <v>-150</v>
      </c>
    </row>
    <row r="8" spans="1:11" x14ac:dyDescent="0.3">
      <c r="A8" t="s">
        <v>13</v>
      </c>
      <c r="B8" t="s">
        <v>14</v>
      </c>
      <c r="C8" s="4" cm="1">
        <f t="array" aca="1" ref="C8" ca="1">INDIRECT("Flow" &amp; $B$11-1 &amp; "[@[Closing balance]]")</f>
        <v>180</v>
      </c>
      <c r="D8" s="4">
        <f ca="1">SUMIFS(operations[Amount],operations[Bank],Flow2[[#This Row],[Bank]],operations[Product],Flow2[[#This Row],[Product]],operations[Month],$B$11)</f>
        <v>500</v>
      </c>
      <c r="E8" s="4">
        <f ca="1">Flow2[[#This Row],[Opening balance]]+Flow2[[#This Row],[Operations]]</f>
        <v>680</v>
      </c>
      <c r="G8" t="s">
        <v>34</v>
      </c>
      <c r="H8" s="4">
        <f ca="1">SUBTOTAL(9,Incomes2[Total])</f>
        <v>6565</v>
      </c>
      <c r="J8" t="s">
        <v>24</v>
      </c>
      <c r="K8" s="4">
        <f ca="1">SUMIFS(operations[Amount], operations[Category], Expenses2[[#This Row],[Category]], operations[Month], $B$11)</f>
        <v>-765</v>
      </c>
    </row>
    <row r="9" spans="1:11" x14ac:dyDescent="0.3">
      <c r="A9" t="s">
        <v>34</v>
      </c>
      <c r="C9" s="4">
        <f ca="1">SUBTOTAL(9,Flow2[Opening balance])</f>
        <v>3786</v>
      </c>
      <c r="D9" s="4">
        <f ca="1">SUBTOTAL(109,Flow2[Operations])</f>
        <v>2464.5</v>
      </c>
      <c r="E9" s="4">
        <f ca="1">SUBTOTAL(109,Flow2[Closing balance])</f>
        <v>6250.5</v>
      </c>
      <c r="J9" t="s">
        <v>23</v>
      </c>
      <c r="K9" s="4">
        <f ca="1">SUMIFS(operations[Amount], operations[Category], Expenses2[[#This Row],[Category]], operations[Month], $B$11)</f>
        <v>-100</v>
      </c>
    </row>
    <row r="10" spans="1:11" x14ac:dyDescent="0.3">
      <c r="J10" t="s">
        <v>16</v>
      </c>
      <c r="K10" s="4">
        <f ca="1">SUMIFS(operations[Amount], operations[Category], Expenses2[[#This Row],[Category]], operations[Month], $B$11)</f>
        <v>-80</v>
      </c>
    </row>
    <row r="11" spans="1:11" ht="15" thickBot="1" x14ac:dyDescent="0.35">
      <c r="A11" s="5" t="s">
        <v>6</v>
      </c>
      <c r="B11" s="19" t="str" cm="1">
        <f t="array" aca="1" ref="B11" ca="1">_xlfn.TEXTAFTER(CELL("filename",A1),"]")</f>
        <v>2</v>
      </c>
      <c r="C11" s="6"/>
      <c r="J11" t="s">
        <v>34</v>
      </c>
      <c r="K11" s="4">
        <f ca="1">SUBTOTAL(9,Expenses2[Total])</f>
        <v>-4100.5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>
        <f ca="1">SUMIFS(operations[Amount], operations[Type], Total2[[#This Row],[Type]], operations[Month], $B$11)</f>
        <v>-4100.5</v>
      </c>
    </row>
    <row r="15" spans="1:11" x14ac:dyDescent="0.3">
      <c r="A15" t="s">
        <v>33</v>
      </c>
      <c r="B15" s="4">
        <f ca="1">SUMIFS(operations[Amount], operations[Type], Total2[[#This Row],[Type]], operations[Month], $B$11)</f>
        <v>6565</v>
      </c>
    </row>
    <row r="16" spans="1:11" x14ac:dyDescent="0.3">
      <c r="A16" t="s">
        <v>31</v>
      </c>
      <c r="B16" s="4">
        <f ca="1">SUMIFS(operations[Amount], operations[Type], Total2[[#This Row],[Type]], operations[Month], $B$11)</f>
        <v>0</v>
      </c>
    </row>
    <row r="17" spans="1:2" x14ac:dyDescent="0.3">
      <c r="A17" t="s">
        <v>34</v>
      </c>
      <c r="B17" s="4">
        <f ca="1">SUBTOTAL(9,Total2[Total])</f>
        <v>2464.5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C089B-4076-468E-8144-CD0C3F6E3DA5}">
  <dimension ref="A1:K17"/>
  <sheetViews>
    <sheetView workbookViewId="0">
      <selection activeCell="J10" sqref="J10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6.5546875" customWidth="1"/>
    <col min="7" max="7" width="18" customWidth="1"/>
    <col min="8" max="8" width="24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 cm="1">
        <f t="array" aca="1" ref="C2" ca="1">INDIRECT("Flow" &amp; $B$11-1 &amp; "[@[Closing balance]]")</f>
        <v>100</v>
      </c>
      <c r="D2" s="4">
        <f ca="1">SUMIFS(operations[Amount],operations[Bank],Flow3[[#This Row],[Bank]],operations[Product],Flow3[[#This Row],[Product]],operations[Month],$B$11)</f>
        <v>67.5</v>
      </c>
      <c r="E2" s="4">
        <f ca="1">Flow3[[#This Row],[Opening balance]]+Flow3[[#This Row],[Operations]]</f>
        <v>167.5</v>
      </c>
      <c r="G2" t="s">
        <v>25</v>
      </c>
      <c r="H2" s="4">
        <f ca="1">SUMIFS(operations[Amount], operations[Category], Incomes3[[#This Row],[Category]], operations[Month], $B$11)</f>
        <v>0</v>
      </c>
      <c r="J2" t="s">
        <v>18</v>
      </c>
      <c r="K2" s="4">
        <f ca="1">SUMIFS(operations[Amount], operations[Category], Expenses3[[#This Row],[Category]], operations[Month], $B$11)</f>
        <v>-2000</v>
      </c>
    </row>
    <row r="3" spans="1:11" x14ac:dyDescent="0.3">
      <c r="A3" t="s">
        <v>11</v>
      </c>
      <c r="B3" t="s">
        <v>12</v>
      </c>
      <c r="C3" s="4" cm="1">
        <f t="array" aca="1" ref="C3" ca="1">INDIRECT("Flow" &amp; $B$11-1 &amp; "[@[Closing balance]]")</f>
        <v>281</v>
      </c>
      <c r="D3" s="4">
        <f ca="1">SUMIFS(operations[Amount],operations[Bank],Flow3[[#This Row],[Bank]],operations[Product],Flow3[[#This Row],[Product]],operations[Month],$B$11)</f>
        <v>5</v>
      </c>
      <c r="E3" s="4">
        <f ca="1">Flow3[[#This Row],[Opening balance]]+Flow3[[#This Row],[Operations]]</f>
        <v>286</v>
      </c>
      <c r="G3" t="s">
        <v>28</v>
      </c>
      <c r="H3" s="4">
        <f ca="1">SUMIFS(operations[Amount], operations[Category], Incomes3[[#This Row],[Category]], operations[Month], $B$11)</f>
        <v>150</v>
      </c>
      <c r="J3" t="s">
        <v>22</v>
      </c>
      <c r="K3" s="4">
        <f ca="1">SUMIFS(operations[Amount], operations[Category], Expenses3[[#This Row],[Category]], operations[Month], $B$11)</f>
        <v>-469.9</v>
      </c>
    </row>
    <row r="4" spans="1:11" x14ac:dyDescent="0.3">
      <c r="A4" t="s">
        <v>7</v>
      </c>
      <c r="B4" t="s">
        <v>8</v>
      </c>
      <c r="C4" s="4" cm="1">
        <f t="array" aca="1" ref="C4" ca="1">INDIRECT("Flow" &amp; $B$11-1 &amp; "[@[Closing balance]]")</f>
        <v>3739.5</v>
      </c>
      <c r="D4" s="4">
        <f ca="1">SUMIFS(operations[Amount],operations[Bank],Flow3[[#This Row],[Bank]],operations[Product],Flow3[[#This Row],[Product]],operations[Month],$B$11)</f>
        <v>821.59999999999991</v>
      </c>
      <c r="E4" s="4">
        <f ca="1">Flow3[[#This Row],[Opening balance]]+Flow3[[#This Row],[Operations]]</f>
        <v>4561.1000000000004</v>
      </c>
      <c r="G4" t="s">
        <v>29</v>
      </c>
      <c r="H4" s="4">
        <f ca="1">SUMIFS(operations[Amount], operations[Category], Incomes3[[#This Row],[Category]], operations[Month], $B$11)</f>
        <v>5</v>
      </c>
      <c r="J4" t="s">
        <v>20</v>
      </c>
      <c r="K4" s="4">
        <f ca="1">SUMIFS(operations[Amount], operations[Category], Expenses3[[#This Row],[Category]], operations[Month], $B$11)</f>
        <v>-200</v>
      </c>
    </row>
    <row r="5" spans="1:11" x14ac:dyDescent="0.3">
      <c r="A5" t="s">
        <v>7</v>
      </c>
      <c r="B5" t="s">
        <v>9</v>
      </c>
      <c r="C5" s="4" cm="1">
        <f t="array" aca="1" ref="C5" ca="1">INDIRECT("Flow" &amp; $B$11-1 &amp; "[@[Closing balance]]")</f>
        <v>0</v>
      </c>
      <c r="D5" s="4">
        <f ca="1">SUMIFS(operations[Amount],operations[Bank],Flow3[[#This Row],[Bank]],operations[Product],Flow3[[#This Row],[Product]],operations[Month],$B$11)</f>
        <v>-104.5</v>
      </c>
      <c r="E5" s="4">
        <f ca="1">Flow3[[#This Row],[Opening balance]]+Flow3[[#This Row],[Operations]]</f>
        <v>-104.5</v>
      </c>
      <c r="G5" t="s">
        <v>30</v>
      </c>
      <c r="H5" s="4">
        <f ca="1">SUMIFS(operations[Amount], operations[Category], Incomes3[[#This Row],[Category]], operations[Month], $B$11)</f>
        <v>0</v>
      </c>
      <c r="J5" t="s">
        <v>17</v>
      </c>
      <c r="K5" s="4">
        <f ca="1">SUMIFS(operations[Amount], operations[Category], Expenses3[[#This Row],[Category]], operations[Month], $B$11)</f>
        <v>-734.99</v>
      </c>
    </row>
    <row r="6" spans="1:11" x14ac:dyDescent="0.3">
      <c r="A6" t="s">
        <v>7</v>
      </c>
      <c r="B6" t="s">
        <v>10</v>
      </c>
      <c r="C6" s="4" cm="1">
        <f t="array" aca="1" ref="C6" ca="1">INDIRECT("Flow" &amp; $B$11-1 &amp; "[@[Closing balance]]")</f>
        <v>1200</v>
      </c>
      <c r="D6" s="4">
        <f ca="1">SUMIFS(operations[Amount],operations[Bank],Flow3[[#This Row],[Bank]],operations[Product],Flow3[[#This Row],[Product]],operations[Month],$B$11)</f>
        <v>0</v>
      </c>
      <c r="E6" s="4">
        <f ca="1">Flow3[[#This Row],[Opening balance]]+Flow3[[#This Row],[Operations]]</f>
        <v>1200</v>
      </c>
      <c r="G6" t="s">
        <v>26</v>
      </c>
      <c r="H6" s="4">
        <f ca="1">SUMIFS(operations[Amount], operations[Category], Incomes3[[#This Row],[Category]], operations[Month], $B$11)</f>
        <v>4500</v>
      </c>
      <c r="J6" t="s">
        <v>21</v>
      </c>
      <c r="K6" s="4">
        <f ca="1">SUMIFS(operations[Amount], operations[Category], Expenses3[[#This Row],[Category]], operations[Month], $B$11)</f>
        <v>-9.5</v>
      </c>
    </row>
    <row r="7" spans="1:11" x14ac:dyDescent="0.3">
      <c r="A7" t="s">
        <v>13</v>
      </c>
      <c r="B7" t="s">
        <v>15</v>
      </c>
      <c r="C7" s="4" cm="1">
        <f t="array" aca="1" ref="C7" ca="1">INDIRECT("Flow" &amp; $B$11-1 &amp; "[@[Closing balance]]")</f>
        <v>250</v>
      </c>
      <c r="D7" s="4">
        <f ca="1">SUMIFS(operations[Amount],operations[Bank],Flow3[[#This Row],[Bank]],operations[Product],Flow3[[#This Row],[Product]],operations[Month],$B$11)</f>
        <v>-24.49</v>
      </c>
      <c r="E7" s="4">
        <f ca="1">Flow3[[#This Row],[Opening balance]]+Flow3[[#This Row],[Operations]]</f>
        <v>225.51</v>
      </c>
      <c r="G7" t="s">
        <v>27</v>
      </c>
      <c r="H7" s="4">
        <f ca="1">SUMIFS(operations[Amount], operations[Category], Incomes3[[#This Row],[Category]], operations[Month], $B$11)</f>
        <v>0</v>
      </c>
      <c r="J7" t="s">
        <v>19</v>
      </c>
      <c r="K7" s="4">
        <f ca="1">SUMIFS(operations[Amount], operations[Category], Expenses3[[#This Row],[Category]], operations[Month], $B$11)</f>
        <v>-23</v>
      </c>
    </row>
    <row r="8" spans="1:11" x14ac:dyDescent="0.3">
      <c r="A8" t="s">
        <v>13</v>
      </c>
      <c r="B8" t="s">
        <v>14</v>
      </c>
      <c r="C8" s="4" cm="1">
        <f t="array" aca="1" ref="C8" ca="1">INDIRECT("Flow" &amp; $B$11-1 &amp; "[@[Closing balance]]")</f>
        <v>680</v>
      </c>
      <c r="D8" s="4">
        <f ca="1">SUMIFS(operations[Amount],operations[Bank],Flow3[[#This Row],[Bank]],operations[Product],Flow3[[#This Row],[Product]],operations[Month],$B$11)</f>
        <v>-9.5</v>
      </c>
      <c r="E8" s="4">
        <f ca="1">Flow3[[#This Row],[Opening balance]]+Flow3[[#This Row],[Operations]]</f>
        <v>670.5</v>
      </c>
      <c r="G8" t="s">
        <v>34</v>
      </c>
      <c r="H8" s="4">
        <f ca="1">SUBTOTAL(9,Incomes3[Total])</f>
        <v>4655</v>
      </c>
      <c r="J8" t="s">
        <v>24</v>
      </c>
      <c r="K8" s="4">
        <f ca="1">SUMIFS(operations[Amount], operations[Category], Expenses3[[#This Row],[Category]], operations[Month], $B$11)</f>
        <v>-300</v>
      </c>
    </row>
    <row r="9" spans="1:11" x14ac:dyDescent="0.3">
      <c r="A9" t="s">
        <v>34</v>
      </c>
      <c r="C9" s="4">
        <f ca="1">SUBTOTAL(9,Flow3[Opening balance])</f>
        <v>6250.5</v>
      </c>
      <c r="D9" s="4">
        <f ca="1">SUBTOTAL(109,Flow3[Operations])</f>
        <v>755.6099999999999</v>
      </c>
      <c r="E9" s="4">
        <f ca="1">SUBTOTAL(109,Flow3[Closing balance])</f>
        <v>7006.1100000000006</v>
      </c>
      <c r="J9" t="s">
        <v>23</v>
      </c>
      <c r="K9" s="4">
        <f ca="1">SUMIFS(operations[Amount], operations[Category], Expenses3[[#This Row],[Category]], operations[Month], $B$11)</f>
        <v>-79.5</v>
      </c>
    </row>
    <row r="10" spans="1:11" x14ac:dyDescent="0.3">
      <c r="J10" t="s">
        <v>16</v>
      </c>
      <c r="K10" s="4">
        <f ca="1">SUMIFS(operations[Amount], operations[Category], Expenses3[[#This Row],[Category]], operations[Month], $B$11)</f>
        <v>-82.5</v>
      </c>
    </row>
    <row r="11" spans="1:11" ht="15" thickBot="1" x14ac:dyDescent="0.35">
      <c r="A11" s="5" t="s">
        <v>6</v>
      </c>
      <c r="B11" s="19" t="str" cm="1">
        <f t="array" aca="1" ref="B11" ca="1">_xlfn.TEXTAFTER(CELL("filename",A1),"]")</f>
        <v>3</v>
      </c>
      <c r="C11" s="6"/>
      <c r="J11" t="s">
        <v>34</v>
      </c>
      <c r="K11" s="4">
        <f ca="1">SUBTOTAL(9,Expenses3[Total])</f>
        <v>-3899.3900000000003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>
        <f ca="1">SUMIFS(operations[Amount], operations[Type], Total3[[#This Row],[Type]], operations[Month], $B$11)</f>
        <v>-3899.39</v>
      </c>
    </row>
    <row r="15" spans="1:11" x14ac:dyDescent="0.3">
      <c r="A15" t="s">
        <v>33</v>
      </c>
      <c r="B15" s="4">
        <f ca="1">SUMIFS(operations[Amount], operations[Type], Total3[[#This Row],[Type]], operations[Month], $B$11)</f>
        <v>4655</v>
      </c>
    </row>
    <row r="16" spans="1:11" x14ac:dyDescent="0.3">
      <c r="A16" t="s">
        <v>31</v>
      </c>
      <c r="B16" s="4">
        <f ca="1">SUMIFS(operations[Amount], operations[Type], Total3[[#This Row],[Type]], operations[Month], $B$11)</f>
        <v>0</v>
      </c>
    </row>
    <row r="17" spans="1:2" x14ac:dyDescent="0.3">
      <c r="A17" t="s">
        <v>34</v>
      </c>
      <c r="B17" s="4">
        <f ca="1">SUBTOTAL(9,Total3[Total])</f>
        <v>755.61000000000013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F38A-6C03-44F2-8DFF-C20E6F4E56E2}">
  <dimension ref="A1:K17"/>
  <sheetViews>
    <sheetView workbookViewId="0">
      <selection activeCell="J10" sqref="J10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6.5546875" customWidth="1"/>
    <col min="7" max="7" width="18" customWidth="1"/>
    <col min="8" max="8" width="24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 cm="1">
        <f t="array" aca="1" ref="C2" ca="1">INDIRECT("Flow" &amp; $B$11-1 &amp; "[@[Closing balance]]")</f>
        <v>167.5</v>
      </c>
      <c r="D2" s="4">
        <f ca="1">SUMIFS(operations[Amount],operations[Bank],Flow4[[#This Row],[Bank]],operations[Product],Flow4[[#This Row],[Product]],operations[Month],$B$11)</f>
        <v>101</v>
      </c>
      <c r="E2" s="4">
        <f ca="1">Flow4[[#This Row],[Opening balance]]+Flow4[[#This Row],[Operations]]</f>
        <v>268.5</v>
      </c>
      <c r="G2" t="s">
        <v>25</v>
      </c>
      <c r="H2" s="4">
        <f ca="1">SUMIFS(operations[Amount], operations[Category], Incomes4[[#This Row],[Category]], operations[Month], $B$11)</f>
        <v>0</v>
      </c>
      <c r="J2" t="s">
        <v>18</v>
      </c>
      <c r="K2" s="4">
        <f ca="1">SUMIFS(operations[Amount], operations[Category], Expenses4[[#This Row],[Category]], operations[Month], $B$11)</f>
        <v>-2000</v>
      </c>
    </row>
    <row r="3" spans="1:11" x14ac:dyDescent="0.3">
      <c r="A3" t="s">
        <v>11</v>
      </c>
      <c r="B3" t="s">
        <v>12</v>
      </c>
      <c r="C3" s="4" cm="1">
        <f t="array" aca="1" ref="C3" ca="1">INDIRECT("Flow" &amp; $B$11-1 &amp; "[@[Closing balance]]")</f>
        <v>286</v>
      </c>
      <c r="D3" s="4">
        <f ca="1">SUMIFS(operations[Amount],operations[Bank],Flow4[[#This Row],[Bank]],operations[Product],Flow4[[#This Row],[Product]],operations[Month],$B$11)</f>
        <v>50</v>
      </c>
      <c r="E3" s="4">
        <f ca="1">Flow4[[#This Row],[Opening balance]]+Flow4[[#This Row],[Operations]]</f>
        <v>336</v>
      </c>
      <c r="G3" t="s">
        <v>28</v>
      </c>
      <c r="H3" s="4">
        <f ca="1">SUMIFS(operations[Amount], operations[Category], Incomes4[[#This Row],[Category]], operations[Month], $B$11)</f>
        <v>150</v>
      </c>
      <c r="J3" t="s">
        <v>22</v>
      </c>
      <c r="K3" s="4">
        <f ca="1">SUMIFS(operations[Amount], operations[Category], Expenses4[[#This Row],[Category]], operations[Month], $B$11)</f>
        <v>-149</v>
      </c>
    </row>
    <row r="4" spans="1:11" x14ac:dyDescent="0.3">
      <c r="A4" t="s">
        <v>7</v>
      </c>
      <c r="B4" t="s">
        <v>8</v>
      </c>
      <c r="C4" s="4" cm="1">
        <f t="array" aca="1" ref="C4" ca="1">INDIRECT("Flow" &amp; $B$11-1 &amp; "[@[Closing balance]]")</f>
        <v>4561.1000000000004</v>
      </c>
      <c r="D4" s="4">
        <f ca="1">SUMIFS(operations[Amount],operations[Bank],Flow4[[#This Row],[Bank]],operations[Product],Flow4[[#This Row],[Product]],operations[Month],$B$11)</f>
        <v>562.72999999999968</v>
      </c>
      <c r="E4" s="4">
        <f ca="1">Flow4[[#This Row],[Opening balance]]+Flow4[[#This Row],[Operations]]</f>
        <v>5123.83</v>
      </c>
      <c r="G4" t="s">
        <v>29</v>
      </c>
      <c r="H4" s="4">
        <f ca="1">SUMIFS(operations[Amount], operations[Category], Incomes4[[#This Row],[Category]], operations[Month], $B$11)</f>
        <v>50</v>
      </c>
      <c r="J4" t="s">
        <v>20</v>
      </c>
      <c r="K4" s="4">
        <f ca="1">SUMIFS(operations[Amount], operations[Category], Expenses4[[#This Row],[Category]], operations[Month], $B$11)</f>
        <v>-1057.9000000000001</v>
      </c>
    </row>
    <row r="5" spans="1:11" x14ac:dyDescent="0.3">
      <c r="A5" t="s">
        <v>7</v>
      </c>
      <c r="B5" t="s">
        <v>9</v>
      </c>
      <c r="C5" s="4" cm="1">
        <f t="array" aca="1" ref="C5" ca="1">INDIRECT("Flow" &amp; $B$11-1 &amp; "[@[Closing balance]]")</f>
        <v>-104.5</v>
      </c>
      <c r="D5" s="4">
        <f ca="1">SUMIFS(operations[Amount],operations[Bank],Flow4[[#This Row],[Bank]],operations[Product],Flow4[[#This Row],[Product]],operations[Month],$B$11)</f>
        <v>13.110000000000007</v>
      </c>
      <c r="E5" s="4">
        <f ca="1">Flow4[[#This Row],[Opening balance]]+Flow4[[#This Row],[Operations]]</f>
        <v>-91.389999999999986</v>
      </c>
      <c r="G5" t="s">
        <v>30</v>
      </c>
      <c r="H5" s="4">
        <f ca="1">SUMIFS(operations[Amount], operations[Category], Incomes4[[#This Row],[Category]], operations[Month], $B$11)</f>
        <v>0</v>
      </c>
      <c r="J5" t="s">
        <v>17</v>
      </c>
      <c r="K5" s="4">
        <f ca="1">SUMIFS(operations[Amount], operations[Category], Expenses4[[#This Row],[Category]], operations[Month], $B$11)</f>
        <v>-372.26</v>
      </c>
    </row>
    <row r="6" spans="1:11" x14ac:dyDescent="0.3">
      <c r="A6" t="s">
        <v>7</v>
      </c>
      <c r="B6" t="s">
        <v>10</v>
      </c>
      <c r="C6" s="4" cm="1">
        <f t="array" aca="1" ref="C6" ca="1">INDIRECT("Flow" &amp; $B$11-1 &amp; "[@[Closing balance]]")</f>
        <v>1200</v>
      </c>
      <c r="D6" s="4">
        <f ca="1">SUMIFS(operations[Amount],operations[Bank],Flow4[[#This Row],[Bank]],operations[Product],Flow4[[#This Row],[Product]],operations[Month],$B$11)</f>
        <v>0</v>
      </c>
      <c r="E6" s="4">
        <f ca="1">Flow4[[#This Row],[Opening balance]]+Flow4[[#This Row],[Operations]]</f>
        <v>1200</v>
      </c>
      <c r="G6" t="s">
        <v>26</v>
      </c>
      <c r="H6" s="4">
        <f ca="1">SUMIFS(operations[Amount], operations[Category], Incomes4[[#This Row],[Category]], operations[Month], $B$11)</f>
        <v>4500</v>
      </c>
      <c r="J6" t="s">
        <v>21</v>
      </c>
      <c r="K6" s="4">
        <f ca="1">SUMIFS(operations[Amount], operations[Category], Expenses4[[#This Row],[Category]], operations[Month], $B$11)</f>
        <v>-23.5</v>
      </c>
    </row>
    <row r="7" spans="1:11" x14ac:dyDescent="0.3">
      <c r="A7" t="s">
        <v>13</v>
      </c>
      <c r="B7" t="s">
        <v>15</v>
      </c>
      <c r="C7" s="4" cm="1">
        <f t="array" aca="1" ref="C7" ca="1">INDIRECT("Flow" &amp; $B$11-1 &amp; "[@[Closing balance]]")</f>
        <v>225.51</v>
      </c>
      <c r="D7" s="4">
        <f ca="1">SUMIFS(operations[Amount],operations[Bank],Flow4[[#This Row],[Bank]],operations[Product],Flow4[[#This Row],[Product]],operations[Month],$B$11)</f>
        <v>0</v>
      </c>
      <c r="E7" s="4">
        <f ca="1">Flow4[[#This Row],[Opening balance]]+Flow4[[#This Row],[Operations]]</f>
        <v>225.51</v>
      </c>
      <c r="G7" t="s">
        <v>27</v>
      </c>
      <c r="H7" s="4">
        <f ca="1">SUMIFS(operations[Amount], operations[Category], Incomes4[[#This Row],[Category]], operations[Month], $B$11)</f>
        <v>0</v>
      </c>
      <c r="J7" t="s">
        <v>19</v>
      </c>
      <c r="K7" s="4">
        <f ca="1">SUMIFS(operations[Amount], operations[Category], Expenses4[[#This Row],[Category]], operations[Month], $B$11)</f>
        <v>-49</v>
      </c>
    </row>
    <row r="8" spans="1:11" x14ac:dyDescent="0.3">
      <c r="A8" t="s">
        <v>13</v>
      </c>
      <c r="B8" t="s">
        <v>14</v>
      </c>
      <c r="C8" s="4" cm="1">
        <f t="array" aca="1" ref="C8" ca="1">INDIRECT("Flow" &amp; $B$11-1 &amp; "[@[Closing balance]]")</f>
        <v>670.5</v>
      </c>
      <c r="D8" s="4">
        <f ca="1">SUMIFS(operations[Amount],operations[Bank],Flow4[[#This Row],[Bank]],operations[Product],Flow4[[#This Row],[Product]],operations[Month],$B$11)</f>
        <v>0</v>
      </c>
      <c r="E8" s="4">
        <f ca="1">Flow4[[#This Row],[Opening balance]]+Flow4[[#This Row],[Operations]]</f>
        <v>670.5</v>
      </c>
      <c r="G8" t="s">
        <v>34</v>
      </c>
      <c r="H8" s="4">
        <f ca="1">SUBTOTAL(9,Incomes4[Total])</f>
        <v>4700</v>
      </c>
      <c r="J8" t="s">
        <v>24</v>
      </c>
      <c r="K8" s="4">
        <f ca="1">SUMIFS(operations[Amount], operations[Category], Expenses4[[#This Row],[Category]], operations[Month], $B$11)</f>
        <v>-100</v>
      </c>
    </row>
    <row r="9" spans="1:11" x14ac:dyDescent="0.3">
      <c r="A9" t="s">
        <v>34</v>
      </c>
      <c r="C9" s="4">
        <f ca="1">SUBTOTAL(9,Flow4[Opening balance])</f>
        <v>7006.1100000000006</v>
      </c>
      <c r="D9" s="4">
        <f ca="1">SUBTOTAL(109,Flow4[Operations])</f>
        <v>726.83999999999969</v>
      </c>
      <c r="E9" s="4">
        <f ca="1">SUBTOTAL(109,Flow4[Closing balance])</f>
        <v>7732.95</v>
      </c>
      <c r="J9" t="s">
        <v>23</v>
      </c>
      <c r="K9" s="4">
        <f ca="1">SUMIFS(operations[Amount], operations[Category], Expenses4[[#This Row],[Category]], operations[Month], $B$11)</f>
        <v>-139</v>
      </c>
    </row>
    <row r="10" spans="1:11" x14ac:dyDescent="0.3">
      <c r="J10" t="s">
        <v>16</v>
      </c>
      <c r="K10" s="4">
        <f ca="1">SUMIFS(operations[Amount], operations[Category], Expenses4[[#This Row],[Category]], operations[Month], $B$11)</f>
        <v>-82.5</v>
      </c>
    </row>
    <row r="11" spans="1:11" ht="15" thickBot="1" x14ac:dyDescent="0.35">
      <c r="A11" s="5" t="s">
        <v>6</v>
      </c>
      <c r="B11" s="19" t="str" cm="1">
        <f t="array" aca="1" ref="B11" ca="1">_xlfn.TEXTAFTER(CELL("filename",A1),"]")</f>
        <v>4</v>
      </c>
      <c r="C11" s="6"/>
      <c r="J11" t="s">
        <v>34</v>
      </c>
      <c r="K11" s="4">
        <f ca="1">SUBTOTAL(9,Expenses4[Total])</f>
        <v>-3973.16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>
        <f ca="1">SUMIFS(operations[Amount], operations[Type], Total4[[#This Row],[Type]], operations[Month], $B$11)</f>
        <v>-3973.16</v>
      </c>
    </row>
    <row r="15" spans="1:11" x14ac:dyDescent="0.3">
      <c r="A15" t="s">
        <v>33</v>
      </c>
      <c r="B15" s="4">
        <f ca="1">SUMIFS(operations[Amount], operations[Type], Total4[[#This Row],[Type]], operations[Month], $B$11)</f>
        <v>4700</v>
      </c>
    </row>
    <row r="16" spans="1:11" x14ac:dyDescent="0.3">
      <c r="A16" t="s">
        <v>31</v>
      </c>
      <c r="B16" s="4">
        <f ca="1">SUMIFS(operations[Amount], operations[Type], Total4[[#This Row],[Type]], operations[Month], $B$11)</f>
        <v>0</v>
      </c>
    </row>
    <row r="17" spans="1:2" x14ac:dyDescent="0.3">
      <c r="A17" t="s">
        <v>34</v>
      </c>
      <c r="B17" s="4">
        <f ca="1">SUBTOTAL(9,Total4[Total])</f>
        <v>726.84000000000015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12CD-3A9E-4F13-8CEF-B96F8E1C6746}">
  <dimension ref="A1:K17"/>
  <sheetViews>
    <sheetView workbookViewId="0">
      <selection activeCell="J10" sqref="J10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6.5546875" customWidth="1"/>
    <col min="7" max="7" width="18" customWidth="1"/>
    <col min="8" max="8" width="24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 cm="1">
        <f t="array" aca="1" ref="C2" ca="1">INDIRECT("Flow" &amp; $B$11-1 &amp; "[@[Closing balance]]")</f>
        <v>268.5</v>
      </c>
      <c r="D2" s="4">
        <f ca="1">SUMIFS(operations[Amount],operations[Bank],Flow5[[#This Row],[Bank]],operations[Product],Flow5[[#This Row],[Product]],operations[Month],$B$11)</f>
        <v>-50</v>
      </c>
      <c r="E2" s="4">
        <f ca="1">Flow5[[#This Row],[Opening balance]]+Flow5[[#This Row],[Operations]]</f>
        <v>218.5</v>
      </c>
      <c r="G2" t="s">
        <v>25</v>
      </c>
      <c r="H2" s="4">
        <f ca="1">SUMIFS(operations[Amount], operations[Category], Incomes5[[#This Row],[Category]], operations[Month], $B$11)</f>
        <v>0</v>
      </c>
      <c r="J2" t="s">
        <v>18</v>
      </c>
      <c r="K2" s="4">
        <f ca="1">SUMIFS(operations[Amount], operations[Category], Expenses5[[#This Row],[Category]], operations[Month], $B$11)</f>
        <v>-2000</v>
      </c>
    </row>
    <row r="3" spans="1:11" x14ac:dyDescent="0.3">
      <c r="A3" t="s">
        <v>11</v>
      </c>
      <c r="B3" t="s">
        <v>12</v>
      </c>
      <c r="C3" s="4" cm="1">
        <f t="array" aca="1" ref="C3" ca="1">INDIRECT("Flow" &amp; $B$11-1 &amp; "[@[Closing balance]]")</f>
        <v>336</v>
      </c>
      <c r="D3" s="4">
        <f ca="1">SUMIFS(operations[Amount],operations[Bank],Flow5[[#This Row],[Bank]],operations[Product],Flow5[[#This Row],[Product]],operations[Month],$B$11)</f>
        <v>0</v>
      </c>
      <c r="E3" s="4">
        <f ca="1">Flow5[[#This Row],[Opening balance]]+Flow5[[#This Row],[Operations]]</f>
        <v>336</v>
      </c>
      <c r="G3" t="s">
        <v>28</v>
      </c>
      <c r="H3" s="4">
        <f ca="1">SUMIFS(operations[Amount], operations[Category], Incomes5[[#This Row],[Category]], operations[Month], $B$11)</f>
        <v>0</v>
      </c>
      <c r="J3" t="s">
        <v>22</v>
      </c>
      <c r="K3" s="4">
        <f ca="1">SUMIFS(operations[Amount], operations[Category], Expenses5[[#This Row],[Category]], operations[Month], $B$11)</f>
        <v>0</v>
      </c>
    </row>
    <row r="4" spans="1:11" x14ac:dyDescent="0.3">
      <c r="A4" t="s">
        <v>7</v>
      </c>
      <c r="B4" t="s">
        <v>8</v>
      </c>
      <c r="C4" s="4" cm="1">
        <f t="array" aca="1" ref="C4" ca="1">INDIRECT("Flow" &amp; $B$11-1 &amp; "[@[Closing balance]]")</f>
        <v>5123.83</v>
      </c>
      <c r="D4" s="4">
        <f ca="1">SUMIFS(operations[Amount],operations[Bank],Flow5[[#This Row],[Bank]],operations[Product],Flow5[[#This Row],[Product]],operations[Month],$B$11)</f>
        <v>2328.61</v>
      </c>
      <c r="E4" s="4">
        <f ca="1">Flow5[[#This Row],[Opening balance]]+Flow5[[#This Row],[Operations]]</f>
        <v>7452.4400000000005</v>
      </c>
      <c r="G4" t="s">
        <v>29</v>
      </c>
      <c r="H4" s="4">
        <f ca="1">SUMIFS(operations[Amount], operations[Category], Incomes5[[#This Row],[Category]], operations[Month], $B$11)</f>
        <v>0</v>
      </c>
      <c r="J4" t="s">
        <v>20</v>
      </c>
      <c r="K4" s="4">
        <f ca="1">SUMIFS(operations[Amount], operations[Category], Expenses5[[#This Row],[Category]], operations[Month], $B$11)</f>
        <v>-80</v>
      </c>
    </row>
    <row r="5" spans="1:11" x14ac:dyDescent="0.3">
      <c r="A5" t="s">
        <v>7</v>
      </c>
      <c r="B5" t="s">
        <v>9</v>
      </c>
      <c r="C5" s="4" cm="1">
        <f t="array" aca="1" ref="C5" ca="1">INDIRECT("Flow" &amp; $B$11-1 &amp; "[@[Closing balance]]")</f>
        <v>-91.389999999999986</v>
      </c>
      <c r="D5" s="4">
        <f ca="1">SUMIFS(operations[Amount],operations[Bank],Flow5[[#This Row],[Bank]],operations[Product],Flow5[[#This Row],[Product]],operations[Month],$B$11)</f>
        <v>-908.61</v>
      </c>
      <c r="E5" s="4">
        <f ca="1">Flow5[[#This Row],[Opening balance]]+Flow5[[#This Row],[Operations]]</f>
        <v>-1000</v>
      </c>
      <c r="G5" t="s">
        <v>30</v>
      </c>
      <c r="H5" s="4">
        <f ca="1">SUMIFS(operations[Amount], operations[Category], Incomes5[[#This Row],[Category]], operations[Month], $B$11)</f>
        <v>0</v>
      </c>
      <c r="J5" t="s">
        <v>17</v>
      </c>
      <c r="K5" s="4">
        <f ca="1">SUMIFS(operations[Amount], operations[Category], Expenses5[[#This Row],[Category]], operations[Month], $B$11)</f>
        <v>-1000</v>
      </c>
    </row>
    <row r="6" spans="1:11" x14ac:dyDescent="0.3">
      <c r="A6" t="s">
        <v>7</v>
      </c>
      <c r="B6" t="s">
        <v>10</v>
      </c>
      <c r="C6" s="4" cm="1">
        <f t="array" aca="1" ref="C6" ca="1">INDIRECT("Flow" &amp; $B$11-1 &amp; "[@[Closing balance]]")</f>
        <v>1200</v>
      </c>
      <c r="D6" s="4">
        <f ca="1">SUMIFS(operations[Amount],operations[Bank],Flow5[[#This Row],[Bank]],operations[Product],Flow5[[#This Row],[Product]],operations[Month],$B$11)</f>
        <v>0</v>
      </c>
      <c r="E6" s="4">
        <f ca="1">Flow5[[#This Row],[Opening balance]]+Flow5[[#This Row],[Operations]]</f>
        <v>1200</v>
      </c>
      <c r="G6" t="s">
        <v>26</v>
      </c>
      <c r="H6" s="4">
        <f ca="1">SUMIFS(operations[Amount], operations[Category], Incomes5[[#This Row],[Category]], operations[Month], $B$11)</f>
        <v>4500</v>
      </c>
      <c r="J6" t="s">
        <v>21</v>
      </c>
      <c r="K6" s="4">
        <f ca="1">SUMIFS(operations[Amount], operations[Category], Expenses5[[#This Row],[Category]], operations[Month], $B$11)</f>
        <v>0</v>
      </c>
    </row>
    <row r="7" spans="1:11" x14ac:dyDescent="0.3">
      <c r="A7" t="s">
        <v>13</v>
      </c>
      <c r="B7" t="s">
        <v>15</v>
      </c>
      <c r="C7" s="4" cm="1">
        <f t="array" aca="1" ref="C7" ca="1">INDIRECT("Flow" &amp; $B$11-1 &amp; "[@[Closing balance]]")</f>
        <v>225.51</v>
      </c>
      <c r="D7" s="4">
        <f ca="1">SUMIFS(operations[Amount],operations[Bank],Flow5[[#This Row],[Bank]],operations[Product],Flow5[[#This Row],[Product]],operations[Month],$B$11)</f>
        <v>0</v>
      </c>
      <c r="E7" s="4">
        <f ca="1">Flow5[[#This Row],[Opening balance]]+Flow5[[#This Row],[Operations]]</f>
        <v>225.51</v>
      </c>
      <c r="G7" t="s">
        <v>27</v>
      </c>
      <c r="H7" s="4">
        <f ca="1">SUMIFS(operations[Amount], operations[Category], Incomes5[[#This Row],[Category]], operations[Month], $B$11)</f>
        <v>0</v>
      </c>
      <c r="J7" t="s">
        <v>19</v>
      </c>
      <c r="K7" s="4">
        <f ca="1">SUMIFS(operations[Amount], operations[Category], Expenses5[[#This Row],[Category]], operations[Month], $B$11)</f>
        <v>-50</v>
      </c>
    </row>
    <row r="8" spans="1:11" x14ac:dyDescent="0.3">
      <c r="A8" t="s">
        <v>13</v>
      </c>
      <c r="B8" t="s">
        <v>14</v>
      </c>
      <c r="C8" s="4" cm="1">
        <f t="array" aca="1" ref="C8" ca="1">INDIRECT("Flow" &amp; $B$11-1 &amp; "[@[Closing balance]]")</f>
        <v>670.5</v>
      </c>
      <c r="D8" s="4">
        <f ca="1">SUMIFS(operations[Amount],operations[Bank],Flow5[[#This Row],[Bank]],operations[Product],Flow5[[#This Row],[Product]],operations[Month],$B$11)</f>
        <v>-80</v>
      </c>
      <c r="E8" s="4">
        <f ca="1">Flow5[[#This Row],[Opening balance]]+Flow5[[#This Row],[Operations]]</f>
        <v>590.5</v>
      </c>
      <c r="G8" t="s">
        <v>34</v>
      </c>
      <c r="H8" s="4">
        <f ca="1">SUBTOTAL(9,Incomes5[Total])</f>
        <v>4500</v>
      </c>
      <c r="J8" t="s">
        <v>24</v>
      </c>
      <c r="K8" s="4">
        <f ca="1">SUMIFS(operations[Amount], operations[Category], Expenses5[[#This Row],[Category]], operations[Month], $B$11)</f>
        <v>0</v>
      </c>
    </row>
    <row r="9" spans="1:11" x14ac:dyDescent="0.3">
      <c r="A9" t="s">
        <v>34</v>
      </c>
      <c r="C9" s="4">
        <f ca="1">SUBTOTAL(9,Flow5[Opening balance])</f>
        <v>7732.95</v>
      </c>
      <c r="D9" s="4">
        <f ca="1">SUBTOTAL(109,Flow5[Operations])</f>
        <v>1290</v>
      </c>
      <c r="E9" s="4">
        <f ca="1">SUBTOTAL(109,Flow5[Closing balance])</f>
        <v>9022.9500000000007</v>
      </c>
      <c r="J9" t="s">
        <v>23</v>
      </c>
      <c r="K9" s="4">
        <f ca="1">SUMIFS(operations[Amount], operations[Category], Expenses5[[#This Row],[Category]], operations[Month], $B$11)</f>
        <v>0</v>
      </c>
    </row>
    <row r="10" spans="1:11" x14ac:dyDescent="0.3">
      <c r="J10" t="s">
        <v>16</v>
      </c>
      <c r="K10" s="4">
        <f ca="1">SUMIFS(operations[Amount], operations[Category], Expenses5[[#This Row],[Category]], operations[Month], $B$11)</f>
        <v>-80</v>
      </c>
    </row>
    <row r="11" spans="1:11" ht="15" thickBot="1" x14ac:dyDescent="0.35">
      <c r="A11" s="5" t="s">
        <v>6</v>
      </c>
      <c r="B11" s="19" t="str" cm="1">
        <f t="array" aca="1" ref="B11" ca="1">_xlfn.TEXTAFTER(CELL("filename",A1),"]")</f>
        <v>5</v>
      </c>
      <c r="C11" s="6"/>
      <c r="J11" t="s">
        <v>34</v>
      </c>
      <c r="K11" s="4">
        <f ca="1">SUBTOTAL(9,Expenses5[Total])</f>
        <v>-3210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>
        <f ca="1">SUMIFS(operations[Amount], operations[Type], Total5[[#This Row],[Type]], operations[Month], $B$11)</f>
        <v>-3210</v>
      </c>
    </row>
    <row r="15" spans="1:11" x14ac:dyDescent="0.3">
      <c r="A15" t="s">
        <v>33</v>
      </c>
      <c r="B15" s="4">
        <f ca="1">SUMIFS(operations[Amount], operations[Type], Total5[[#This Row],[Type]], operations[Month], $B$11)</f>
        <v>4500</v>
      </c>
    </row>
    <row r="16" spans="1:11" x14ac:dyDescent="0.3">
      <c r="A16" t="s">
        <v>31</v>
      </c>
      <c r="B16" s="4">
        <f ca="1">SUMIFS(operations[Amount], operations[Type], Total5[[#This Row],[Type]], operations[Month], $B$11)</f>
        <v>0</v>
      </c>
    </row>
    <row r="17" spans="1:2" x14ac:dyDescent="0.3">
      <c r="A17" t="s">
        <v>34</v>
      </c>
      <c r="B17" s="4">
        <f ca="1">SUBTOTAL(9,Total5[Total])</f>
        <v>1290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5488-C537-4FED-8ED0-49A9F67C1A71}">
  <dimension ref="A1:K17"/>
  <sheetViews>
    <sheetView workbookViewId="0">
      <selection activeCell="J10" sqref="J10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6.5546875" customWidth="1"/>
    <col min="7" max="7" width="18" customWidth="1"/>
    <col min="8" max="8" width="24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 cm="1">
        <f t="array" aca="1" ref="C2" ca="1">INDIRECT("Flow" &amp; $B$11-1 &amp; "[@[Closing balance]]")</f>
        <v>218.5</v>
      </c>
      <c r="D2" s="4">
        <f ca="1">SUMIFS(operations[Amount],operations[Bank],Flow6[[#This Row],[Bank]],operations[Product],Flow6[[#This Row],[Product]],operations[Month],$B$11)</f>
        <v>250</v>
      </c>
      <c r="E2" s="4">
        <f ca="1">Flow6[[#This Row],[Opening balance]]+Flow6[[#This Row],[Operations]]</f>
        <v>468.5</v>
      </c>
      <c r="G2" t="s">
        <v>25</v>
      </c>
      <c r="H2" s="4">
        <f ca="1">SUMIFS(operations[Amount], operations[Category], Incomes6[[#This Row],[Category]], operations[Month], $B$11)</f>
        <v>400</v>
      </c>
      <c r="J2" t="s">
        <v>18</v>
      </c>
      <c r="K2" s="4">
        <f ca="1">SUMIFS(operations[Amount], operations[Category], Expenses6[[#This Row],[Category]], operations[Month], $B$11)</f>
        <v>-2000</v>
      </c>
    </row>
    <row r="3" spans="1:11" x14ac:dyDescent="0.3">
      <c r="A3" t="s">
        <v>11</v>
      </c>
      <c r="B3" t="s">
        <v>12</v>
      </c>
      <c r="C3" s="4" cm="1">
        <f t="array" aca="1" ref="C3" ca="1">INDIRECT("Flow" &amp; $B$11-1 &amp; "[@[Closing balance]]")</f>
        <v>336</v>
      </c>
      <c r="D3" s="4">
        <f ca="1">SUMIFS(operations[Amount],operations[Bank],Flow6[[#This Row],[Bank]],operations[Product],Flow6[[#This Row],[Product]],operations[Month],$B$11)</f>
        <v>0</v>
      </c>
      <c r="E3" s="4">
        <f ca="1">Flow6[[#This Row],[Opening balance]]+Flow6[[#This Row],[Operations]]</f>
        <v>336</v>
      </c>
      <c r="G3" t="s">
        <v>28</v>
      </c>
      <c r="H3" s="4">
        <f ca="1">SUMIFS(operations[Amount], operations[Category], Incomes6[[#This Row],[Category]], operations[Month], $B$11)</f>
        <v>0</v>
      </c>
      <c r="J3" t="s">
        <v>22</v>
      </c>
      <c r="K3" s="4">
        <f ca="1">SUMIFS(operations[Amount], operations[Category], Expenses6[[#This Row],[Category]], operations[Month], $B$11)</f>
        <v>-300</v>
      </c>
    </row>
    <row r="4" spans="1:11" x14ac:dyDescent="0.3">
      <c r="A4" t="s">
        <v>7</v>
      </c>
      <c r="B4" t="s">
        <v>8</v>
      </c>
      <c r="C4" s="4" cm="1">
        <f t="array" aca="1" ref="C4" ca="1">INDIRECT("Flow" &amp; $B$11-1 &amp; "[@[Closing balance]]")</f>
        <v>7452.4400000000005</v>
      </c>
      <c r="D4" s="4">
        <f ca="1">SUMIFS(operations[Amount],operations[Bank],Flow6[[#This Row],[Bank]],operations[Product],Flow6[[#This Row],[Product]],operations[Month],$B$11)</f>
        <v>1420</v>
      </c>
      <c r="E4" s="4">
        <f ca="1">Flow6[[#This Row],[Opening balance]]+Flow6[[#This Row],[Operations]]</f>
        <v>8872.44</v>
      </c>
      <c r="G4" t="s">
        <v>29</v>
      </c>
      <c r="H4" s="4">
        <f ca="1">SUMIFS(operations[Amount], operations[Category], Incomes6[[#This Row],[Category]], operations[Month], $B$11)</f>
        <v>0</v>
      </c>
      <c r="J4" t="s">
        <v>20</v>
      </c>
      <c r="K4" s="4">
        <f ca="1">SUMIFS(operations[Amount], operations[Category], Expenses6[[#This Row],[Category]], operations[Month], $B$11)</f>
        <v>-200</v>
      </c>
    </row>
    <row r="5" spans="1:11" x14ac:dyDescent="0.3">
      <c r="A5" t="s">
        <v>7</v>
      </c>
      <c r="B5" t="s">
        <v>9</v>
      </c>
      <c r="C5" s="4" cm="1">
        <f t="array" aca="1" ref="C5" ca="1">INDIRECT("Flow" &amp; $B$11-1 &amp; "[@[Closing balance]]")</f>
        <v>-1000</v>
      </c>
      <c r="D5" s="4">
        <f ca="1">SUMIFS(operations[Amount],operations[Bank],Flow6[[#This Row],[Bank]],operations[Product],Flow6[[#This Row],[Product]],operations[Month],$B$11)</f>
        <v>-300</v>
      </c>
      <c r="E5" s="4">
        <f ca="1">Flow6[[#This Row],[Opening balance]]+Flow6[[#This Row],[Operations]]</f>
        <v>-1300</v>
      </c>
      <c r="G5" t="s">
        <v>30</v>
      </c>
      <c r="H5" s="4">
        <f ca="1">SUMIFS(operations[Amount], operations[Category], Incomes6[[#This Row],[Category]], operations[Month], $B$11)</f>
        <v>0</v>
      </c>
      <c r="J5" t="s">
        <v>17</v>
      </c>
      <c r="K5" s="4">
        <f ca="1">SUMIFS(operations[Amount], operations[Category], Expenses6[[#This Row],[Category]], operations[Month], $B$11)</f>
        <v>-1000</v>
      </c>
    </row>
    <row r="6" spans="1:11" x14ac:dyDescent="0.3">
      <c r="A6" t="s">
        <v>7</v>
      </c>
      <c r="B6" t="s">
        <v>10</v>
      </c>
      <c r="C6" s="4" cm="1">
        <f t="array" aca="1" ref="C6" ca="1">INDIRECT("Flow" &amp; $B$11-1 &amp; "[@[Closing balance]]")</f>
        <v>1200</v>
      </c>
      <c r="D6" s="4">
        <f ca="1">SUMIFS(operations[Amount],operations[Bank],Flow6[[#This Row],[Bank]],operations[Product],Flow6[[#This Row],[Product]],operations[Month],$B$11)</f>
        <v>0</v>
      </c>
      <c r="E6" s="4">
        <f ca="1">Flow6[[#This Row],[Opening balance]]+Flow6[[#This Row],[Operations]]</f>
        <v>1200</v>
      </c>
      <c r="G6" t="s">
        <v>26</v>
      </c>
      <c r="H6" s="4">
        <f ca="1">SUMIFS(operations[Amount], operations[Category], Incomes6[[#This Row],[Category]], operations[Month], $B$11)</f>
        <v>4500</v>
      </c>
      <c r="J6" t="s">
        <v>21</v>
      </c>
      <c r="K6" s="4">
        <f ca="1">SUMIFS(operations[Amount], operations[Category], Expenses6[[#This Row],[Category]], operations[Month], $B$11)</f>
        <v>-100</v>
      </c>
    </row>
    <row r="7" spans="1:11" x14ac:dyDescent="0.3">
      <c r="A7" t="s">
        <v>13</v>
      </c>
      <c r="B7" t="s">
        <v>15</v>
      </c>
      <c r="C7" s="4" cm="1">
        <f t="array" aca="1" ref="C7" ca="1">INDIRECT("Flow" &amp; $B$11-1 &amp; "[@[Closing balance]]")</f>
        <v>225.51</v>
      </c>
      <c r="D7" s="4">
        <f ca="1">SUMIFS(operations[Amount],operations[Bank],Flow6[[#This Row],[Bank]],operations[Product],Flow6[[#This Row],[Product]],operations[Month],$B$11)</f>
        <v>0</v>
      </c>
      <c r="E7" s="4">
        <f ca="1">Flow6[[#This Row],[Opening balance]]+Flow6[[#This Row],[Operations]]</f>
        <v>225.51</v>
      </c>
      <c r="G7" t="s">
        <v>27</v>
      </c>
      <c r="H7" s="4">
        <f ca="1">SUMIFS(operations[Amount], operations[Category], Incomes6[[#This Row],[Category]], operations[Month], $B$11)</f>
        <v>0</v>
      </c>
      <c r="J7" t="s">
        <v>19</v>
      </c>
      <c r="K7" s="4">
        <f ca="1">SUMIFS(operations[Amount], operations[Category], Expenses6[[#This Row],[Category]], operations[Month], $B$11)</f>
        <v>-50</v>
      </c>
    </row>
    <row r="8" spans="1:11" x14ac:dyDescent="0.3">
      <c r="A8" t="s">
        <v>13</v>
      </c>
      <c r="B8" t="s">
        <v>14</v>
      </c>
      <c r="C8" s="4" cm="1">
        <f t="array" aca="1" ref="C8" ca="1">INDIRECT("Flow" &amp; $B$11-1 &amp; "[@[Closing balance]]")</f>
        <v>590.5</v>
      </c>
      <c r="D8" s="4">
        <f ca="1">SUMIFS(operations[Amount],operations[Bank],Flow6[[#This Row],[Bank]],operations[Product],Flow6[[#This Row],[Product]],operations[Month],$B$11)</f>
        <v>-200</v>
      </c>
      <c r="E8" s="4">
        <f ca="1">Flow6[[#This Row],[Opening balance]]+Flow6[[#This Row],[Operations]]</f>
        <v>390.5</v>
      </c>
      <c r="G8" t="s">
        <v>34</v>
      </c>
      <c r="H8" s="4">
        <f ca="1">SUBTOTAL(9,Incomes6[Total])</f>
        <v>4900</v>
      </c>
      <c r="J8" t="s">
        <v>24</v>
      </c>
      <c r="K8" s="4">
        <f ca="1">SUMIFS(operations[Amount], operations[Category], Expenses6[[#This Row],[Category]], operations[Month], $B$11)</f>
        <v>0</v>
      </c>
    </row>
    <row r="9" spans="1:11" x14ac:dyDescent="0.3">
      <c r="A9" t="s">
        <v>34</v>
      </c>
      <c r="C9" s="4">
        <f ca="1">SUBTOTAL(9,Flow6[Opening balance])</f>
        <v>9022.9500000000007</v>
      </c>
      <c r="D9" s="4">
        <f ca="1">SUBTOTAL(109,Flow6[Operations])</f>
        <v>1170</v>
      </c>
      <c r="E9" s="4">
        <f ca="1">SUBTOTAL(109,Flow6[Closing balance])</f>
        <v>10192.950000000001</v>
      </c>
      <c r="J9" t="s">
        <v>23</v>
      </c>
      <c r="K9" s="4">
        <f ca="1">SUMIFS(operations[Amount], operations[Category], Expenses6[[#This Row],[Category]], operations[Month], $B$11)</f>
        <v>0</v>
      </c>
    </row>
    <row r="10" spans="1:11" x14ac:dyDescent="0.3">
      <c r="J10" t="s">
        <v>16</v>
      </c>
      <c r="K10" s="4">
        <f ca="1">SUMIFS(operations[Amount], operations[Category], Expenses6[[#This Row],[Category]], operations[Month], $B$11)</f>
        <v>-80</v>
      </c>
    </row>
    <row r="11" spans="1:11" ht="15" thickBot="1" x14ac:dyDescent="0.35">
      <c r="A11" s="5" t="s">
        <v>6</v>
      </c>
      <c r="B11" s="19" t="str" cm="1">
        <f t="array" aca="1" ref="B11" ca="1">_xlfn.TEXTAFTER(CELL("filename",A1),"]")</f>
        <v>6</v>
      </c>
      <c r="C11" s="6"/>
      <c r="J11" t="s">
        <v>34</v>
      </c>
      <c r="K11" s="4">
        <f ca="1">SUBTOTAL(9,Expenses6[Total])</f>
        <v>-3730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>
        <f ca="1">SUMIFS(operations[Amount], operations[Type], Total6[[#This Row],[Type]], operations[Month], $B$11)</f>
        <v>-3730</v>
      </c>
    </row>
    <row r="15" spans="1:11" x14ac:dyDescent="0.3">
      <c r="A15" t="s">
        <v>33</v>
      </c>
      <c r="B15" s="4">
        <f ca="1">SUMIFS(operations[Amount], operations[Type], Total6[[#This Row],[Type]], operations[Month], $B$11)</f>
        <v>4900</v>
      </c>
    </row>
    <row r="16" spans="1:11" x14ac:dyDescent="0.3">
      <c r="A16" t="s">
        <v>31</v>
      </c>
      <c r="B16" s="4">
        <f ca="1">SUMIFS(operations[Amount], operations[Type], Total6[[#This Row],[Type]], operations[Month], $B$11)</f>
        <v>0</v>
      </c>
    </row>
    <row r="17" spans="1:2" x14ac:dyDescent="0.3">
      <c r="A17" t="s">
        <v>34</v>
      </c>
      <c r="B17" s="4">
        <f ca="1">SUBTOTAL(9,Total6[Total])</f>
        <v>1170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15C7-FAEE-4286-AFCF-C55754E516D9}">
  <dimension ref="A1:K17"/>
  <sheetViews>
    <sheetView workbookViewId="0">
      <selection activeCell="J10" sqref="J10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6.5546875" customWidth="1"/>
    <col min="7" max="7" width="18" customWidth="1"/>
    <col min="8" max="8" width="24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 cm="1">
        <f t="array" aca="1" ref="C2" ca="1">INDIRECT("Flow" &amp; $B$11-1 &amp; "[@[Closing balance]]")</f>
        <v>468.5</v>
      </c>
      <c r="D2" s="4">
        <f ca="1">SUMIFS(operations[Amount],operations[Bank],Flow7[[#This Row],[Bank]],operations[Product],Flow7[[#This Row],[Product]],operations[Month],$B$11)</f>
        <v>-100</v>
      </c>
      <c r="E2" s="4">
        <f ca="1">Flow7[[#This Row],[Opening balance]]+Flow7[[#This Row],[Operations]]</f>
        <v>368.5</v>
      </c>
      <c r="G2" t="s">
        <v>25</v>
      </c>
      <c r="H2" s="4">
        <f ca="1">SUMIFS(operations[Amount], operations[Category], Incomes7[[#This Row],[Category]], operations[Month], $B$11)</f>
        <v>0</v>
      </c>
      <c r="J2" t="s">
        <v>18</v>
      </c>
      <c r="K2" s="4">
        <f ca="1">SUMIFS(operations[Amount], operations[Category], Expenses7[[#This Row],[Category]], operations[Month], $B$11)</f>
        <v>-2000</v>
      </c>
    </row>
    <row r="3" spans="1:11" x14ac:dyDescent="0.3">
      <c r="A3" t="s">
        <v>11</v>
      </c>
      <c r="B3" t="s">
        <v>12</v>
      </c>
      <c r="C3" s="4" cm="1">
        <f t="array" aca="1" ref="C3" ca="1">INDIRECT("Flow" &amp; $B$11-1 &amp; "[@[Closing balance]]")</f>
        <v>336</v>
      </c>
      <c r="D3" s="4">
        <f ca="1">SUMIFS(operations[Amount],operations[Bank],Flow7[[#This Row],[Bank]],operations[Product],Flow7[[#This Row],[Product]],operations[Month],$B$11)</f>
        <v>1050</v>
      </c>
      <c r="E3" s="4">
        <f ca="1">Flow7[[#This Row],[Opening balance]]+Flow7[[#This Row],[Operations]]</f>
        <v>1386</v>
      </c>
      <c r="G3" t="s">
        <v>28</v>
      </c>
      <c r="H3" s="4">
        <f ca="1">SUMIFS(operations[Amount], operations[Category], Incomes7[[#This Row],[Category]], operations[Month], $B$11)</f>
        <v>120</v>
      </c>
      <c r="J3" t="s">
        <v>22</v>
      </c>
      <c r="K3" s="4">
        <f ca="1">SUMIFS(operations[Amount], operations[Category], Expenses7[[#This Row],[Category]], operations[Month], $B$11)</f>
        <v>250</v>
      </c>
    </row>
    <row r="4" spans="1:11" x14ac:dyDescent="0.3">
      <c r="A4" t="s">
        <v>7</v>
      </c>
      <c r="B4" t="s">
        <v>8</v>
      </c>
      <c r="C4" s="4" cm="1">
        <f t="array" aca="1" ref="C4" ca="1">INDIRECT("Flow" &amp; $B$11-1 &amp; "[@[Closing balance]]")</f>
        <v>8872.44</v>
      </c>
      <c r="D4" s="4">
        <f ca="1">SUMIFS(operations[Amount],operations[Bank],Flow7[[#This Row],[Bank]],operations[Product],Flow7[[#This Row],[Product]],operations[Month],$B$11)</f>
        <v>1010</v>
      </c>
      <c r="E4" s="4">
        <f ca="1">Flow7[[#This Row],[Opening balance]]+Flow7[[#This Row],[Operations]]</f>
        <v>9882.44</v>
      </c>
      <c r="G4" t="s">
        <v>29</v>
      </c>
      <c r="H4" s="4">
        <f ca="1">SUMIFS(operations[Amount], operations[Category], Incomes7[[#This Row],[Category]], operations[Month], $B$11)</f>
        <v>800</v>
      </c>
      <c r="J4" t="s">
        <v>20</v>
      </c>
      <c r="K4" s="4">
        <f ca="1">SUMIFS(operations[Amount], operations[Category], Expenses7[[#This Row],[Category]], operations[Month], $B$11)</f>
        <v>-700</v>
      </c>
    </row>
    <row r="5" spans="1:11" x14ac:dyDescent="0.3">
      <c r="A5" t="s">
        <v>7</v>
      </c>
      <c r="B5" t="s">
        <v>9</v>
      </c>
      <c r="C5" s="4" cm="1">
        <f t="array" aca="1" ref="C5" ca="1">INDIRECT("Flow" &amp; $B$11-1 &amp; "[@[Closing balance]]")</f>
        <v>-1300</v>
      </c>
      <c r="D5" s="4">
        <f ca="1">SUMIFS(operations[Amount],operations[Bank],Flow7[[#This Row],[Bank]],operations[Product],Flow7[[#This Row],[Product]],operations[Month],$B$11)</f>
        <v>1165</v>
      </c>
      <c r="E5" s="4">
        <f ca="1">Flow7[[#This Row],[Opening balance]]+Flow7[[#This Row],[Operations]]</f>
        <v>-135</v>
      </c>
      <c r="G5" t="s">
        <v>30</v>
      </c>
      <c r="H5" s="4">
        <f ca="1">SUMIFS(operations[Amount], operations[Category], Incomes7[[#This Row],[Category]], operations[Month], $B$11)</f>
        <v>0</v>
      </c>
      <c r="J5" t="s">
        <v>17</v>
      </c>
      <c r="K5" s="4">
        <f ca="1">SUMIFS(operations[Amount], operations[Category], Expenses7[[#This Row],[Category]], operations[Month], $B$11)</f>
        <v>-165</v>
      </c>
    </row>
    <row r="6" spans="1:11" x14ac:dyDescent="0.3">
      <c r="A6" t="s">
        <v>7</v>
      </c>
      <c r="B6" t="s">
        <v>10</v>
      </c>
      <c r="C6" s="4" cm="1">
        <f t="array" aca="1" ref="C6" ca="1">INDIRECT("Flow" &amp; $B$11-1 &amp; "[@[Closing balance]]")</f>
        <v>1200</v>
      </c>
      <c r="D6" s="4">
        <f ca="1">SUMIFS(operations[Amount],operations[Bank],Flow7[[#This Row],[Bank]],operations[Product],Flow7[[#This Row],[Product]],operations[Month],$B$11)</f>
        <v>-180</v>
      </c>
      <c r="E6" s="4">
        <f ca="1">Flow7[[#This Row],[Opening balance]]+Flow7[[#This Row],[Operations]]</f>
        <v>1020</v>
      </c>
      <c r="G6" t="s">
        <v>26</v>
      </c>
      <c r="H6" s="4">
        <f ca="1">SUMIFS(operations[Amount], operations[Category], Incomes7[[#This Row],[Category]], operations[Month], $B$11)</f>
        <v>4500</v>
      </c>
      <c r="J6" t="s">
        <v>21</v>
      </c>
      <c r="K6" s="4">
        <f ca="1">SUMIFS(operations[Amount], operations[Category], Expenses7[[#This Row],[Category]], operations[Month], $B$11)</f>
        <v>-300</v>
      </c>
    </row>
    <row r="7" spans="1:11" x14ac:dyDescent="0.3">
      <c r="A7" t="s">
        <v>13</v>
      </c>
      <c r="B7" t="s">
        <v>15</v>
      </c>
      <c r="C7" s="4" cm="1">
        <f t="array" aca="1" ref="C7" ca="1">INDIRECT("Flow" &amp; $B$11-1 &amp; "[@[Closing balance]]")</f>
        <v>225.51</v>
      </c>
      <c r="D7" s="4">
        <f ca="1">SUMIFS(operations[Amount],operations[Bank],Flow7[[#This Row],[Bank]],operations[Product],Flow7[[#This Row],[Product]],operations[Month],$B$11)</f>
        <v>-30</v>
      </c>
      <c r="E7" s="4">
        <f ca="1">Flow7[[#This Row],[Opening balance]]+Flow7[[#This Row],[Operations]]</f>
        <v>195.51</v>
      </c>
      <c r="G7" t="s">
        <v>27</v>
      </c>
      <c r="H7" s="4">
        <f ca="1">SUMIFS(operations[Amount], operations[Category], Incomes7[[#This Row],[Category]], operations[Month], $B$11)</f>
        <v>500</v>
      </c>
      <c r="J7" t="s">
        <v>19</v>
      </c>
      <c r="K7" s="4">
        <f ca="1">SUMIFS(operations[Amount], operations[Category], Expenses7[[#This Row],[Category]], operations[Month], $B$11)</f>
        <v>0</v>
      </c>
    </row>
    <row r="8" spans="1:11" x14ac:dyDescent="0.3">
      <c r="A8" t="s">
        <v>13</v>
      </c>
      <c r="B8" t="s">
        <v>14</v>
      </c>
      <c r="C8" s="4" cm="1">
        <f t="array" aca="1" ref="C8" ca="1">INDIRECT("Flow" &amp; $B$11-1 &amp; "[@[Closing balance]]")</f>
        <v>390.5</v>
      </c>
      <c r="D8" s="4">
        <f ca="1">SUMIFS(operations[Amount],operations[Bank],Flow7[[#This Row],[Bank]],operations[Product],Flow7[[#This Row],[Product]],operations[Month],$B$11)</f>
        <v>0</v>
      </c>
      <c r="E8" s="4">
        <f ca="1">Flow7[[#This Row],[Opening balance]]+Flow7[[#This Row],[Operations]]</f>
        <v>390.5</v>
      </c>
      <c r="G8" t="s">
        <v>34</v>
      </c>
      <c r="H8" s="4">
        <f ca="1">SUBTOTAL(9,Incomes7[Total])</f>
        <v>5920</v>
      </c>
      <c r="J8" t="s">
        <v>24</v>
      </c>
      <c r="K8" s="4">
        <f ca="1">SUMIFS(operations[Amount], operations[Category], Expenses7[[#This Row],[Category]], operations[Month], $B$11)</f>
        <v>0</v>
      </c>
    </row>
    <row r="9" spans="1:11" x14ac:dyDescent="0.3">
      <c r="A9" t="s">
        <v>34</v>
      </c>
      <c r="C9" s="4">
        <f ca="1">SUBTOTAL(9,Flow7[Opening balance])</f>
        <v>10192.950000000001</v>
      </c>
      <c r="D9" s="4">
        <f ca="1">SUBTOTAL(109,Flow7[Operations])</f>
        <v>2915</v>
      </c>
      <c r="E9" s="4">
        <f ca="1">SUBTOTAL(109,Flow7[Closing balance])</f>
        <v>13107.95</v>
      </c>
      <c r="J9" t="s">
        <v>23</v>
      </c>
      <c r="K9" s="4">
        <f ca="1">SUMIFS(operations[Amount], operations[Category], Expenses7[[#This Row],[Category]], operations[Month], $B$11)</f>
        <v>0</v>
      </c>
    </row>
    <row r="10" spans="1:11" x14ac:dyDescent="0.3">
      <c r="J10" t="s">
        <v>16</v>
      </c>
      <c r="K10" s="4">
        <f ca="1">SUMIFS(operations[Amount], operations[Category], Expenses7[[#This Row],[Category]], operations[Month], $B$11)</f>
        <v>-90</v>
      </c>
    </row>
    <row r="11" spans="1:11" ht="15" thickBot="1" x14ac:dyDescent="0.35">
      <c r="A11" s="5" t="s">
        <v>6</v>
      </c>
      <c r="B11" s="19" t="str" cm="1">
        <f t="array" aca="1" ref="B11" ca="1">_xlfn.TEXTAFTER(CELL("filename",A1),"]")</f>
        <v>7</v>
      </c>
      <c r="C11" s="6"/>
      <c r="J11" t="s">
        <v>34</v>
      </c>
      <c r="K11" s="4">
        <f ca="1">SUBTOTAL(9,Expenses7[Total])</f>
        <v>-3005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>
        <f ca="1">SUMIFS(operations[Amount], operations[Type], Total7[[#This Row],[Type]], operations[Month], $B$11)</f>
        <v>-3005</v>
      </c>
    </row>
    <row r="15" spans="1:11" x14ac:dyDescent="0.3">
      <c r="A15" t="s">
        <v>33</v>
      </c>
      <c r="B15" s="4">
        <f ca="1">SUMIFS(operations[Amount], operations[Type], Total7[[#This Row],[Type]], operations[Month], $B$11)</f>
        <v>5920</v>
      </c>
    </row>
    <row r="16" spans="1:11" x14ac:dyDescent="0.3">
      <c r="A16" t="s">
        <v>31</v>
      </c>
      <c r="B16" s="4">
        <f ca="1">SUMIFS(operations[Amount], operations[Type], Total7[[#This Row],[Type]], operations[Month], $B$11)</f>
        <v>0</v>
      </c>
    </row>
    <row r="17" spans="1:2" x14ac:dyDescent="0.3">
      <c r="A17" t="s">
        <v>34</v>
      </c>
      <c r="B17" s="4">
        <f ca="1">SUBTOTAL(9,Total7[Total])</f>
        <v>2915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B3A4-A809-45C2-9CE4-E3E17C3BB1C2}">
  <dimension ref="A1:K17"/>
  <sheetViews>
    <sheetView workbookViewId="0">
      <selection activeCell="J10" sqref="J10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6.5546875" customWidth="1"/>
    <col min="7" max="7" width="18" customWidth="1"/>
    <col min="8" max="8" width="24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 cm="1">
        <f t="array" aca="1" ref="C2" ca="1">INDIRECT("Flow" &amp; $B$11-1 &amp; "[@[Closing balance]]")</f>
        <v>368.5</v>
      </c>
      <c r="D2" s="4">
        <f ca="1">SUMIFS(operations[Amount],operations[Bank],Flow8[[#This Row],[Bank]],operations[Product],Flow8[[#This Row],[Product]],operations[Month],$B$11)</f>
        <v>200</v>
      </c>
      <c r="E2" s="4">
        <f ca="1">Flow8[[#This Row],[Opening balance]]+Flow8[[#This Row],[Operations]]</f>
        <v>568.5</v>
      </c>
      <c r="G2" t="s">
        <v>25</v>
      </c>
      <c r="H2" s="4">
        <f ca="1">SUMIFS(operations[Amount], operations[Category], Incomes8[[#This Row],[Category]], operations[Month], $B$11)</f>
        <v>0</v>
      </c>
      <c r="J2" t="s">
        <v>18</v>
      </c>
      <c r="K2" s="4">
        <f ca="1">SUMIFS(operations[Amount], operations[Category], Expenses8[[#This Row],[Category]], operations[Month], $B$11)</f>
        <v>-2000</v>
      </c>
    </row>
    <row r="3" spans="1:11" x14ac:dyDescent="0.3">
      <c r="A3" t="s">
        <v>11</v>
      </c>
      <c r="B3" t="s">
        <v>12</v>
      </c>
      <c r="C3" s="4" cm="1">
        <f t="array" aca="1" ref="C3" ca="1">INDIRECT("Flow" &amp; $B$11-1 &amp; "[@[Closing balance]]")</f>
        <v>1386</v>
      </c>
      <c r="D3" s="4">
        <f ca="1">SUMIFS(operations[Amount],operations[Bank],Flow8[[#This Row],[Bank]],operations[Product],Flow8[[#This Row],[Product]],operations[Month],$B$11)</f>
        <v>-300</v>
      </c>
      <c r="E3" s="4">
        <f ca="1">Flow8[[#This Row],[Opening balance]]+Flow8[[#This Row],[Operations]]</f>
        <v>1086</v>
      </c>
      <c r="G3" t="s">
        <v>28</v>
      </c>
      <c r="H3" s="4">
        <f ca="1">SUMIFS(operations[Amount], operations[Category], Incomes8[[#This Row],[Category]], operations[Month], $B$11)</f>
        <v>0</v>
      </c>
      <c r="J3" t="s">
        <v>22</v>
      </c>
      <c r="K3" s="4">
        <f ca="1">SUMIFS(operations[Amount], operations[Category], Expenses8[[#This Row],[Category]], operations[Month], $B$11)</f>
        <v>-300</v>
      </c>
    </row>
    <row r="4" spans="1:11" x14ac:dyDescent="0.3">
      <c r="A4" t="s">
        <v>7</v>
      </c>
      <c r="B4" t="s">
        <v>8</v>
      </c>
      <c r="C4" s="4" cm="1">
        <f t="array" aca="1" ref="C4" ca="1">INDIRECT("Flow" &amp; $B$11-1 &amp; "[@[Closing balance]]")</f>
        <v>9882.44</v>
      </c>
      <c r="D4" s="4">
        <f ca="1">SUMIFS(operations[Amount],operations[Bank],Flow8[[#This Row],[Bank]],operations[Product],Flow8[[#This Row],[Product]],operations[Month],$B$11)</f>
        <v>2495</v>
      </c>
      <c r="E4" s="4">
        <f ca="1">Flow8[[#This Row],[Opening balance]]+Flow8[[#This Row],[Operations]]</f>
        <v>12377.44</v>
      </c>
      <c r="G4" t="s">
        <v>29</v>
      </c>
      <c r="H4" s="4">
        <f ca="1">SUMIFS(operations[Amount], operations[Category], Incomes8[[#This Row],[Category]], operations[Month], $B$11)</f>
        <v>400</v>
      </c>
      <c r="J4" t="s">
        <v>20</v>
      </c>
      <c r="K4" s="4">
        <f ca="1">SUMIFS(operations[Amount], operations[Category], Expenses8[[#This Row],[Category]], operations[Month], $B$11)</f>
        <v>-250</v>
      </c>
    </row>
    <row r="5" spans="1:11" x14ac:dyDescent="0.3">
      <c r="A5" t="s">
        <v>7</v>
      </c>
      <c r="B5" t="s">
        <v>9</v>
      </c>
      <c r="C5" s="4" cm="1">
        <f t="array" aca="1" ref="C5" ca="1">INDIRECT("Flow" &amp; $B$11-1 &amp; "[@[Closing balance]]")</f>
        <v>-135</v>
      </c>
      <c r="D5" s="4">
        <f ca="1">SUMIFS(operations[Amount],operations[Bank],Flow8[[#This Row],[Bank]],operations[Product],Flow8[[#This Row],[Product]],operations[Month],$B$11)</f>
        <v>33</v>
      </c>
      <c r="E5" s="4">
        <f ca="1">Flow8[[#This Row],[Opening balance]]+Flow8[[#This Row],[Operations]]</f>
        <v>-102</v>
      </c>
      <c r="G5" t="s">
        <v>30</v>
      </c>
      <c r="H5" s="4">
        <f ca="1">SUMIFS(operations[Amount], operations[Category], Incomes8[[#This Row],[Category]], operations[Month], $B$11)</f>
        <v>0</v>
      </c>
      <c r="J5" t="s">
        <v>17</v>
      </c>
      <c r="K5" s="4">
        <f ca="1">SUMIFS(operations[Amount], operations[Category], Expenses8[[#This Row],[Category]], operations[Month], $B$11)</f>
        <v>-749.5</v>
      </c>
    </row>
    <row r="6" spans="1:11" x14ac:dyDescent="0.3">
      <c r="A6" t="s">
        <v>7</v>
      </c>
      <c r="B6" t="s">
        <v>10</v>
      </c>
      <c r="C6" s="4" cm="1">
        <f t="array" aca="1" ref="C6" ca="1">INDIRECT("Flow" &amp; $B$11-1 &amp; "[@[Closing balance]]")</f>
        <v>1020</v>
      </c>
      <c r="D6" s="4">
        <f ca="1">SUMIFS(operations[Amount],operations[Bank],Flow8[[#This Row],[Bank]],operations[Product],Flow8[[#This Row],[Product]],operations[Month],$B$11)</f>
        <v>-1020</v>
      </c>
      <c r="E6" s="4">
        <f ca="1">Flow8[[#This Row],[Opening balance]]+Flow8[[#This Row],[Operations]]</f>
        <v>0</v>
      </c>
      <c r="G6" t="s">
        <v>26</v>
      </c>
      <c r="H6" s="4">
        <f ca="1">SUMIFS(operations[Amount], operations[Category], Incomes8[[#This Row],[Category]], operations[Month], $B$11)</f>
        <v>4500</v>
      </c>
      <c r="J6" t="s">
        <v>21</v>
      </c>
      <c r="K6" s="4">
        <f ca="1">SUMIFS(operations[Amount], operations[Category], Expenses8[[#This Row],[Category]], operations[Month], $B$11)</f>
        <v>-400</v>
      </c>
    </row>
    <row r="7" spans="1:11" x14ac:dyDescent="0.3">
      <c r="A7" t="s">
        <v>13</v>
      </c>
      <c r="B7" t="s">
        <v>15</v>
      </c>
      <c r="C7" s="4" cm="1">
        <f t="array" aca="1" ref="C7" ca="1">INDIRECT("Flow" &amp; $B$11-1 &amp; "[@[Closing balance]]")</f>
        <v>195.51</v>
      </c>
      <c r="D7" s="4">
        <f ca="1">SUMIFS(operations[Amount],operations[Bank],Flow8[[#This Row],[Bank]],operations[Product],Flow8[[#This Row],[Product]],operations[Month],$B$11)</f>
        <v>0</v>
      </c>
      <c r="E7" s="4">
        <f ca="1">Flow8[[#This Row],[Opening balance]]+Flow8[[#This Row],[Operations]]</f>
        <v>195.51</v>
      </c>
      <c r="G7" t="s">
        <v>27</v>
      </c>
      <c r="H7" s="4">
        <f ca="1">SUMIFS(operations[Amount], operations[Category], Incomes8[[#This Row],[Category]], operations[Month], $B$11)</f>
        <v>500</v>
      </c>
      <c r="J7" t="s">
        <v>19</v>
      </c>
      <c r="K7" s="4">
        <f ca="1">SUMIFS(operations[Amount], operations[Category], Expenses8[[#This Row],[Category]], operations[Month], $B$11)</f>
        <v>0</v>
      </c>
    </row>
    <row r="8" spans="1:11" x14ac:dyDescent="0.3">
      <c r="A8" t="s">
        <v>13</v>
      </c>
      <c r="B8" t="s">
        <v>14</v>
      </c>
      <c r="C8" s="4" cm="1">
        <f t="array" aca="1" ref="C8" ca="1">INDIRECT("Flow" &amp; $B$11-1 &amp; "[@[Closing balance]]")</f>
        <v>390.5</v>
      </c>
      <c r="D8" s="4">
        <f ca="1">SUMIFS(operations[Amount],operations[Bank],Flow8[[#This Row],[Bank]],operations[Product],Flow8[[#This Row],[Product]],operations[Month],$B$11)</f>
        <v>2.5</v>
      </c>
      <c r="E8" s="4">
        <f ca="1">Flow8[[#This Row],[Opening balance]]+Flow8[[#This Row],[Operations]]</f>
        <v>393</v>
      </c>
      <c r="G8" t="s">
        <v>34</v>
      </c>
      <c r="H8" s="4">
        <f ca="1">SUBTOTAL(9,Incomes8[Total])</f>
        <v>5400</v>
      </c>
      <c r="J8" t="s">
        <v>24</v>
      </c>
      <c r="K8" s="4">
        <f ca="1">SUMIFS(operations[Amount], operations[Category], Expenses8[[#This Row],[Category]], operations[Month], $B$11)</f>
        <v>0</v>
      </c>
    </row>
    <row r="9" spans="1:11" x14ac:dyDescent="0.3">
      <c r="A9" t="s">
        <v>34</v>
      </c>
      <c r="C9" s="4">
        <f ca="1">SUBTOTAL(9,Flow8[Opening balance])</f>
        <v>13107.95</v>
      </c>
      <c r="D9" s="4">
        <f ca="1">SUBTOTAL(109,Flow8[Operations])</f>
        <v>1410.5</v>
      </c>
      <c r="E9" s="4">
        <f ca="1">SUBTOTAL(109,Flow8[Closing balance])</f>
        <v>14518.45</v>
      </c>
      <c r="J9" t="s">
        <v>23</v>
      </c>
      <c r="K9" s="4">
        <f ca="1">SUMIFS(operations[Amount], operations[Category], Expenses8[[#This Row],[Category]], operations[Month], $B$11)</f>
        <v>0</v>
      </c>
    </row>
    <row r="10" spans="1:11" x14ac:dyDescent="0.3">
      <c r="J10" t="s">
        <v>16</v>
      </c>
      <c r="K10" s="4">
        <f ca="1">SUMIFS(operations[Amount], operations[Category], Expenses8[[#This Row],[Category]], operations[Month], $B$11)</f>
        <v>-290</v>
      </c>
    </row>
    <row r="11" spans="1:11" ht="15" thickBot="1" x14ac:dyDescent="0.35">
      <c r="A11" s="5" t="s">
        <v>6</v>
      </c>
      <c r="B11" s="19" t="str" cm="1">
        <f t="array" aca="1" ref="B11" ca="1">_xlfn.TEXTAFTER(CELL("filename",A1),"]")</f>
        <v>8</v>
      </c>
      <c r="C11" s="6"/>
      <c r="J11" t="s">
        <v>34</v>
      </c>
      <c r="K11" s="4">
        <f ca="1">SUBTOTAL(9,Expenses8[Total])</f>
        <v>-3989.5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>
        <f ca="1">SUMIFS(operations[Amount], operations[Type], Total8[[#This Row],[Type]], operations[Month], $B$11)</f>
        <v>-3989.5</v>
      </c>
    </row>
    <row r="15" spans="1:11" x14ac:dyDescent="0.3">
      <c r="A15" t="s">
        <v>33</v>
      </c>
      <c r="B15" s="4">
        <f ca="1">SUMIFS(operations[Amount], operations[Type], Total8[[#This Row],[Type]], operations[Month], $B$11)</f>
        <v>5400</v>
      </c>
    </row>
    <row r="16" spans="1:11" x14ac:dyDescent="0.3">
      <c r="A16" t="s">
        <v>31</v>
      </c>
      <c r="B16" s="4">
        <f ca="1">SUMIFS(operations[Amount], operations[Type], Total8[[#This Row],[Type]], operations[Month], $B$11)</f>
        <v>0</v>
      </c>
    </row>
    <row r="17" spans="1:2" x14ac:dyDescent="0.3">
      <c r="A17" t="s">
        <v>34</v>
      </c>
      <c r="B17" s="4">
        <f ca="1">SUBTOTAL(9,Total8[Total])</f>
        <v>1410.5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0CCD-C5E2-4278-B3A2-C5E2AD2741AD}">
  <dimension ref="A1:K17"/>
  <sheetViews>
    <sheetView workbookViewId="0">
      <selection activeCell="J10" sqref="J10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6.5546875" customWidth="1"/>
    <col min="7" max="7" width="18" customWidth="1"/>
    <col min="8" max="8" width="24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 cm="1">
        <f t="array" aca="1" ref="C2" ca="1">INDIRECT("Flow" &amp; $B$11-1 &amp; "[@[Closing balance]]")</f>
        <v>568.5</v>
      </c>
      <c r="D2" s="4">
        <f ca="1">SUMIFS(operations[Amount],operations[Bank],Flow9[[#This Row],[Bank]],operations[Product],Flow9[[#This Row],[Product]],operations[Month],$B$11)</f>
        <v>-20</v>
      </c>
      <c r="E2" s="4">
        <f ca="1">Flow9[[#This Row],[Opening balance]]+Flow9[[#This Row],[Operations]]</f>
        <v>548.5</v>
      </c>
      <c r="G2" t="s">
        <v>25</v>
      </c>
      <c r="H2" s="4">
        <f ca="1">SUMIFS(operations[Amount], operations[Category], Incomes9[[#This Row],[Category]], operations[Month], $B$11)</f>
        <v>0</v>
      </c>
      <c r="J2" t="s">
        <v>18</v>
      </c>
      <c r="K2" s="4">
        <f ca="1">SUMIFS(operations[Amount], operations[Category], Expenses9[[#This Row],[Category]], operations[Month], $B$11)</f>
        <v>-2000</v>
      </c>
    </row>
    <row r="3" spans="1:11" x14ac:dyDescent="0.3">
      <c r="A3" t="s">
        <v>11</v>
      </c>
      <c r="B3" t="s">
        <v>12</v>
      </c>
      <c r="C3" s="4" cm="1">
        <f t="array" aca="1" ref="C3" ca="1">INDIRECT("Flow" &amp; $B$11-1 &amp; "[@[Closing balance]]")</f>
        <v>1086</v>
      </c>
      <c r="D3" s="4">
        <f ca="1">SUMIFS(operations[Amount],operations[Bank],Flow9[[#This Row],[Bank]],operations[Product],Flow9[[#This Row],[Product]],operations[Month],$B$11)</f>
        <v>0</v>
      </c>
      <c r="E3" s="4">
        <f ca="1">Flow9[[#This Row],[Opening balance]]+Flow9[[#This Row],[Operations]]</f>
        <v>1086</v>
      </c>
      <c r="G3" t="s">
        <v>28</v>
      </c>
      <c r="H3" s="4">
        <f ca="1">SUMIFS(operations[Amount], operations[Category], Incomes9[[#This Row],[Category]], operations[Month], $B$11)</f>
        <v>0</v>
      </c>
      <c r="J3" t="s">
        <v>22</v>
      </c>
      <c r="K3" s="4">
        <f ca="1">SUMIFS(operations[Amount], operations[Category], Expenses9[[#This Row],[Category]], operations[Month], $B$11)</f>
        <v>0</v>
      </c>
    </row>
    <row r="4" spans="1:11" x14ac:dyDescent="0.3">
      <c r="A4" t="s">
        <v>7</v>
      </c>
      <c r="B4" t="s">
        <v>8</v>
      </c>
      <c r="C4" s="4" cm="1">
        <f t="array" aca="1" ref="C4" ca="1">INDIRECT("Flow" &amp; $B$11-1 &amp; "[@[Closing balance]]")</f>
        <v>12377.44</v>
      </c>
      <c r="D4" s="4">
        <f ca="1">SUMIFS(operations[Amount],operations[Bank],Flow9[[#This Row],[Bank]],operations[Product],Flow9[[#This Row],[Product]],operations[Month],$B$11)</f>
        <v>1689.5</v>
      </c>
      <c r="E4" s="4">
        <f ca="1">Flow9[[#This Row],[Opening balance]]+Flow9[[#This Row],[Operations]]</f>
        <v>14066.94</v>
      </c>
      <c r="G4" t="s">
        <v>29</v>
      </c>
      <c r="H4" s="4">
        <f ca="1">SUMIFS(operations[Amount], operations[Category], Incomes9[[#This Row],[Category]], operations[Month], $B$11)</f>
        <v>0</v>
      </c>
      <c r="J4" t="s">
        <v>20</v>
      </c>
      <c r="K4" s="4">
        <f ca="1">SUMIFS(operations[Amount], operations[Category], Expenses9[[#This Row],[Category]], operations[Month], $B$11)</f>
        <v>-20</v>
      </c>
    </row>
    <row r="5" spans="1:11" x14ac:dyDescent="0.3">
      <c r="A5" t="s">
        <v>7</v>
      </c>
      <c r="B5" t="s">
        <v>9</v>
      </c>
      <c r="C5" s="4" cm="1">
        <f t="array" aca="1" ref="C5" ca="1">INDIRECT("Flow" &amp; $B$11-1 &amp; "[@[Closing balance]]")</f>
        <v>-102</v>
      </c>
      <c r="D5" s="4">
        <f ca="1">SUMIFS(operations[Amount],operations[Bank],Flow9[[#This Row],[Bank]],operations[Product],Flow9[[#This Row],[Product]],operations[Month],$B$11)</f>
        <v>82</v>
      </c>
      <c r="E5" s="4">
        <f ca="1">Flow9[[#This Row],[Opening balance]]+Flow9[[#This Row],[Operations]]</f>
        <v>-20</v>
      </c>
      <c r="G5" t="s">
        <v>30</v>
      </c>
      <c r="H5" s="4">
        <f ca="1">SUMIFS(operations[Amount], operations[Category], Incomes9[[#This Row],[Category]], operations[Month], $B$11)</f>
        <v>0</v>
      </c>
      <c r="J5" t="s">
        <v>17</v>
      </c>
      <c r="K5" s="4">
        <f ca="1">SUMIFS(operations[Amount], operations[Category], Expenses9[[#This Row],[Category]], operations[Month], $B$11)</f>
        <v>-538.5</v>
      </c>
    </row>
    <row r="6" spans="1:11" x14ac:dyDescent="0.3">
      <c r="A6" t="s">
        <v>7</v>
      </c>
      <c r="B6" t="s">
        <v>10</v>
      </c>
      <c r="C6" s="4" cm="1">
        <f t="array" aca="1" ref="C6" ca="1">INDIRECT("Flow" &amp; $B$11-1 &amp; "[@[Closing balance]]")</f>
        <v>0</v>
      </c>
      <c r="D6" s="4">
        <f ca="1">SUMIFS(operations[Amount],operations[Bank],Flow9[[#This Row],[Bank]],operations[Product],Flow9[[#This Row],[Product]],operations[Month],$B$11)</f>
        <v>0</v>
      </c>
      <c r="E6" s="4">
        <f ca="1">Flow9[[#This Row],[Opening balance]]+Flow9[[#This Row],[Operations]]</f>
        <v>0</v>
      </c>
      <c r="G6" t="s">
        <v>26</v>
      </c>
      <c r="H6" s="4">
        <f ca="1">SUMIFS(operations[Amount], operations[Category], Incomes9[[#This Row],[Category]], operations[Month], $B$11)</f>
        <v>4500</v>
      </c>
      <c r="J6" t="s">
        <v>21</v>
      </c>
      <c r="K6" s="4">
        <f ca="1">SUMIFS(operations[Amount], operations[Category], Expenses9[[#This Row],[Category]], operations[Month], $B$11)</f>
        <v>0</v>
      </c>
    </row>
    <row r="7" spans="1:11" x14ac:dyDescent="0.3">
      <c r="A7" t="s">
        <v>13</v>
      </c>
      <c r="B7" t="s">
        <v>15</v>
      </c>
      <c r="C7" s="4" cm="1">
        <f t="array" aca="1" ref="C7" ca="1">INDIRECT("Flow" &amp; $B$11-1 &amp; "[@[Closing balance]]")</f>
        <v>195.51</v>
      </c>
      <c r="D7" s="4">
        <f ca="1">SUMIFS(operations[Amount],operations[Bank],Flow9[[#This Row],[Bank]],operations[Product],Flow9[[#This Row],[Product]],operations[Month],$B$11)</f>
        <v>0</v>
      </c>
      <c r="E7" s="4">
        <f ca="1">Flow9[[#This Row],[Opening balance]]+Flow9[[#This Row],[Operations]]</f>
        <v>195.51</v>
      </c>
      <c r="G7" t="s">
        <v>27</v>
      </c>
      <c r="H7" s="4">
        <f ca="1">SUMIFS(operations[Amount], operations[Category], Incomes9[[#This Row],[Category]], operations[Month], $B$11)</f>
        <v>0</v>
      </c>
      <c r="J7" t="s">
        <v>19</v>
      </c>
      <c r="K7" s="4">
        <f ca="1">SUMIFS(operations[Amount], operations[Category], Expenses9[[#This Row],[Category]], operations[Month], $B$11)</f>
        <v>-40</v>
      </c>
    </row>
    <row r="8" spans="1:11" x14ac:dyDescent="0.3">
      <c r="A8" t="s">
        <v>13</v>
      </c>
      <c r="B8" t="s">
        <v>14</v>
      </c>
      <c r="C8" s="4" cm="1">
        <f t="array" aca="1" ref="C8" ca="1">INDIRECT("Flow" &amp; $B$11-1 &amp; "[@[Closing balance]]")</f>
        <v>393</v>
      </c>
      <c r="D8" s="4">
        <f ca="1">SUMIFS(operations[Amount],operations[Bank],Flow9[[#This Row],[Bank]],operations[Product],Flow9[[#This Row],[Product]],operations[Month],$B$11)</f>
        <v>0</v>
      </c>
      <c r="E8" s="4">
        <f ca="1">Flow9[[#This Row],[Opening balance]]+Flow9[[#This Row],[Operations]]</f>
        <v>393</v>
      </c>
      <c r="G8" t="s">
        <v>34</v>
      </c>
      <c r="H8" s="4">
        <f ca="1">SUBTOTAL(9,Incomes9[Total])</f>
        <v>4500</v>
      </c>
      <c r="J8" t="s">
        <v>24</v>
      </c>
      <c r="K8" s="4">
        <f ca="1">SUMIFS(operations[Amount], operations[Category], Expenses9[[#This Row],[Category]], operations[Month], $B$11)</f>
        <v>0</v>
      </c>
    </row>
    <row r="9" spans="1:11" x14ac:dyDescent="0.3">
      <c r="A9" t="s">
        <v>34</v>
      </c>
      <c r="C9" s="4">
        <f ca="1">SUBTOTAL(9,Flow9[Opening balance])</f>
        <v>14518.45</v>
      </c>
      <c r="D9" s="4">
        <f ca="1">SUBTOTAL(109,Flow9[Operations])</f>
        <v>1751.5</v>
      </c>
      <c r="E9" s="4">
        <f ca="1">SUBTOTAL(109,Flow9[Closing balance])</f>
        <v>16269.95</v>
      </c>
      <c r="J9" t="s">
        <v>23</v>
      </c>
      <c r="K9" s="4">
        <f ca="1">SUMIFS(operations[Amount], operations[Category], Expenses9[[#This Row],[Category]], operations[Month], $B$11)</f>
        <v>0</v>
      </c>
    </row>
    <row r="10" spans="1:11" x14ac:dyDescent="0.3">
      <c r="J10" t="s">
        <v>16</v>
      </c>
      <c r="K10" s="4">
        <f ca="1">SUMIFS(operations[Amount], operations[Category], Expenses9[[#This Row],[Category]], operations[Month], $B$11)</f>
        <v>-150</v>
      </c>
    </row>
    <row r="11" spans="1:11" ht="15" thickBot="1" x14ac:dyDescent="0.35">
      <c r="A11" s="5" t="s">
        <v>6</v>
      </c>
      <c r="B11" s="19" t="str" cm="1">
        <f t="array" aca="1" ref="B11" ca="1">_xlfn.TEXTAFTER(CELL("filename",A1),"]")</f>
        <v>9</v>
      </c>
      <c r="C11" s="6"/>
      <c r="J11" t="s">
        <v>34</v>
      </c>
      <c r="K11" s="4">
        <f ca="1">SUBTOTAL(9,Expenses9[Total])</f>
        <v>-2748.5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>
        <f ca="1">SUMIFS(operations[Amount], operations[Type], Total9[[#This Row],[Type]], operations[Month], $B$11)</f>
        <v>-2748.5</v>
      </c>
    </row>
    <row r="15" spans="1:11" x14ac:dyDescent="0.3">
      <c r="A15" t="s">
        <v>33</v>
      </c>
      <c r="B15" s="4">
        <f ca="1">SUMIFS(operations[Amount], operations[Type], Total9[[#This Row],[Type]], operations[Month], $B$11)</f>
        <v>4500</v>
      </c>
    </row>
    <row r="16" spans="1:11" x14ac:dyDescent="0.3">
      <c r="A16" t="s">
        <v>31</v>
      </c>
      <c r="B16" s="4">
        <f ca="1">SUMIFS(operations[Amount], operations[Type], Total9[[#This Row],[Type]], operations[Month], $B$11)</f>
        <v>0</v>
      </c>
    </row>
    <row r="17" spans="1:2" x14ac:dyDescent="0.3">
      <c r="A17" t="s">
        <v>34</v>
      </c>
      <c r="B17" s="4">
        <f ca="1">SUBTOTAL(9,Total9[Total])</f>
        <v>1751.5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42DC-D506-4489-9302-4BCB2970A0B2}">
  <dimension ref="A1:K17"/>
  <sheetViews>
    <sheetView workbookViewId="0">
      <selection activeCell="J10" sqref="J10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6.5546875" customWidth="1"/>
    <col min="7" max="7" width="18" customWidth="1"/>
    <col min="8" max="8" width="24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 cm="1">
        <f t="array" aca="1" ref="C2" ca="1">INDIRECT("Flow" &amp; $B$11-1 &amp; "[@[Closing balance]]")</f>
        <v>548.5</v>
      </c>
      <c r="D2" s="4">
        <f ca="1">SUMIFS(operations[Amount],operations[Bank],Flow10[[#This Row],[Bank]],operations[Product],Flow10[[#This Row],[Product]],operations[Month],$B$11)</f>
        <v>0</v>
      </c>
      <c r="E2" s="4">
        <f ca="1">Flow10[[#This Row],[Opening balance]]+Flow10[[#This Row],[Operations]]</f>
        <v>548.5</v>
      </c>
      <c r="G2" t="s">
        <v>25</v>
      </c>
      <c r="H2" s="4">
        <f ca="1">SUMIFS(operations[Amount], operations[Category], Incomes10[[#This Row],[Category]], operations[Month], $B$11)</f>
        <v>0</v>
      </c>
      <c r="J2" t="s">
        <v>18</v>
      </c>
      <c r="K2" s="4">
        <f ca="1">SUMIFS(operations[Amount], operations[Category], Expenses10[[#This Row],[Category]], operations[Month], $B$11)</f>
        <v>-2000</v>
      </c>
    </row>
    <row r="3" spans="1:11" x14ac:dyDescent="0.3">
      <c r="A3" t="s">
        <v>11</v>
      </c>
      <c r="B3" t="s">
        <v>12</v>
      </c>
      <c r="C3" s="4" cm="1">
        <f t="array" aca="1" ref="C3" ca="1">INDIRECT("Flow" &amp; $B$11-1 &amp; "[@[Closing balance]]")</f>
        <v>1086</v>
      </c>
      <c r="D3" s="4">
        <f ca="1">SUMIFS(operations[Amount],operations[Bank],Flow10[[#This Row],[Bank]],operations[Product],Flow10[[#This Row],[Product]],operations[Month],$B$11)</f>
        <v>0</v>
      </c>
      <c r="E3" s="4">
        <f ca="1">Flow10[[#This Row],[Opening balance]]+Flow10[[#This Row],[Operations]]</f>
        <v>1086</v>
      </c>
      <c r="G3" t="s">
        <v>28</v>
      </c>
      <c r="H3" s="4">
        <f ca="1">SUMIFS(operations[Amount], operations[Category], Incomes10[[#This Row],[Category]], operations[Month], $B$11)</f>
        <v>0</v>
      </c>
      <c r="J3" t="s">
        <v>22</v>
      </c>
      <c r="K3" s="4">
        <f ca="1">SUMIFS(operations[Amount], operations[Category], Expenses10[[#This Row],[Category]], operations[Month], $B$11)</f>
        <v>0</v>
      </c>
    </row>
    <row r="4" spans="1:11" x14ac:dyDescent="0.3">
      <c r="A4" t="s">
        <v>7</v>
      </c>
      <c r="B4" t="s">
        <v>8</v>
      </c>
      <c r="C4" s="4" cm="1">
        <f t="array" aca="1" ref="C4" ca="1">INDIRECT("Flow" &amp; $B$11-1 &amp; "[@[Closing balance]]")</f>
        <v>14066.94</v>
      </c>
      <c r="D4" s="4">
        <f ca="1">SUMIFS(operations[Amount],operations[Bank],Flow10[[#This Row],[Bank]],operations[Product],Flow10[[#This Row],[Product]],operations[Month],$B$11)</f>
        <v>1690</v>
      </c>
      <c r="E4" s="4">
        <f ca="1">Flow10[[#This Row],[Opening balance]]+Flow10[[#This Row],[Operations]]</f>
        <v>15756.94</v>
      </c>
      <c r="G4" t="s">
        <v>29</v>
      </c>
      <c r="H4" s="4">
        <f ca="1">SUMIFS(operations[Amount], operations[Category], Incomes10[[#This Row],[Category]], operations[Month], $B$11)</f>
        <v>0</v>
      </c>
      <c r="J4" t="s">
        <v>20</v>
      </c>
      <c r="K4" s="4">
        <f ca="1">SUMIFS(operations[Amount], operations[Category], Expenses10[[#This Row],[Category]], operations[Month], $B$11)</f>
        <v>-40</v>
      </c>
    </row>
    <row r="5" spans="1:11" x14ac:dyDescent="0.3">
      <c r="A5" t="s">
        <v>7</v>
      </c>
      <c r="B5" t="s">
        <v>9</v>
      </c>
      <c r="C5" s="4" cm="1">
        <f t="array" aca="1" ref="C5" ca="1">INDIRECT("Flow" &amp; $B$11-1 &amp; "[@[Closing balance]]")</f>
        <v>-20</v>
      </c>
      <c r="D5" s="4">
        <f ca="1">SUMIFS(operations[Amount],operations[Bank],Flow10[[#This Row],[Bank]],operations[Product],Flow10[[#This Row],[Product]],operations[Month],$B$11)</f>
        <v>-20</v>
      </c>
      <c r="E5" s="4">
        <f ca="1">Flow10[[#This Row],[Opening balance]]+Flow10[[#This Row],[Operations]]</f>
        <v>-40</v>
      </c>
      <c r="G5" t="s">
        <v>30</v>
      </c>
      <c r="H5" s="4">
        <f ca="1">SUMIFS(operations[Amount], operations[Category], Incomes10[[#This Row],[Category]], operations[Month], $B$11)</f>
        <v>0</v>
      </c>
      <c r="J5" t="s">
        <v>17</v>
      </c>
      <c r="K5" s="4">
        <f ca="1">SUMIFS(operations[Amount], operations[Category], Expenses10[[#This Row],[Category]], operations[Month], $B$11)</f>
        <v>-600</v>
      </c>
    </row>
    <row r="6" spans="1:11" x14ac:dyDescent="0.3">
      <c r="A6" t="s">
        <v>7</v>
      </c>
      <c r="B6" t="s">
        <v>10</v>
      </c>
      <c r="C6" s="4" cm="1">
        <f t="array" aca="1" ref="C6" ca="1">INDIRECT("Flow" &amp; $B$11-1 &amp; "[@[Closing balance]]")</f>
        <v>0</v>
      </c>
      <c r="D6" s="4">
        <f ca="1">SUMIFS(operations[Amount],operations[Bank],Flow10[[#This Row],[Bank]],operations[Product],Flow10[[#This Row],[Product]],operations[Month],$B$11)</f>
        <v>0</v>
      </c>
      <c r="E6" s="4">
        <f ca="1">Flow10[[#This Row],[Opening balance]]+Flow10[[#This Row],[Operations]]</f>
        <v>0</v>
      </c>
      <c r="G6" t="s">
        <v>26</v>
      </c>
      <c r="H6" s="4">
        <f ca="1">SUMIFS(operations[Amount], operations[Category], Incomes10[[#This Row],[Category]], operations[Month], $B$11)</f>
        <v>4500</v>
      </c>
      <c r="J6" t="s">
        <v>21</v>
      </c>
      <c r="K6" s="4">
        <f ca="1">SUMIFS(operations[Amount], operations[Category], Expenses10[[#This Row],[Category]], operations[Month], $B$11)</f>
        <v>0</v>
      </c>
    </row>
    <row r="7" spans="1:11" x14ac:dyDescent="0.3">
      <c r="A7" t="s">
        <v>13</v>
      </c>
      <c r="B7" t="s">
        <v>15</v>
      </c>
      <c r="C7" s="4" cm="1">
        <f t="array" aca="1" ref="C7" ca="1">INDIRECT("Flow" &amp; $B$11-1 &amp; "[@[Closing balance]]")</f>
        <v>195.51</v>
      </c>
      <c r="D7" s="4">
        <f ca="1">SUMIFS(operations[Amount],operations[Bank],Flow10[[#This Row],[Bank]],operations[Product],Flow10[[#This Row],[Product]],operations[Month],$B$11)</f>
        <v>0</v>
      </c>
      <c r="E7" s="4">
        <f ca="1">Flow10[[#This Row],[Opening balance]]+Flow10[[#This Row],[Operations]]</f>
        <v>195.51</v>
      </c>
      <c r="G7" t="s">
        <v>27</v>
      </c>
      <c r="H7" s="4">
        <f ca="1">SUMIFS(operations[Amount], operations[Category], Incomes10[[#This Row],[Category]], operations[Month], $B$11)</f>
        <v>0</v>
      </c>
      <c r="J7" t="s">
        <v>19</v>
      </c>
      <c r="K7" s="4">
        <f ca="1">SUMIFS(operations[Amount], operations[Category], Expenses10[[#This Row],[Category]], operations[Month], $B$11)</f>
        <v>-40</v>
      </c>
    </row>
    <row r="8" spans="1:11" x14ac:dyDescent="0.3">
      <c r="A8" t="s">
        <v>13</v>
      </c>
      <c r="B8" t="s">
        <v>14</v>
      </c>
      <c r="C8" s="4" cm="1">
        <f t="array" aca="1" ref="C8" ca="1">INDIRECT("Flow" &amp; $B$11-1 &amp; "[@[Closing balance]]")</f>
        <v>393</v>
      </c>
      <c r="D8" s="4">
        <f ca="1">SUMIFS(operations[Amount],operations[Bank],Flow10[[#This Row],[Bank]],operations[Product],Flow10[[#This Row],[Product]],operations[Month],$B$11)</f>
        <v>0</v>
      </c>
      <c r="E8" s="4">
        <f ca="1">Flow10[[#This Row],[Opening balance]]+Flow10[[#This Row],[Operations]]</f>
        <v>393</v>
      </c>
      <c r="G8" t="s">
        <v>34</v>
      </c>
      <c r="H8" s="4">
        <f ca="1">SUBTOTAL(9,Incomes10[Total])</f>
        <v>4500</v>
      </c>
      <c r="J8" t="s">
        <v>24</v>
      </c>
      <c r="K8" s="4">
        <f ca="1">SUMIFS(operations[Amount], operations[Category], Expenses10[[#This Row],[Category]], operations[Month], $B$11)</f>
        <v>0</v>
      </c>
    </row>
    <row r="9" spans="1:11" x14ac:dyDescent="0.3">
      <c r="A9" t="s">
        <v>34</v>
      </c>
      <c r="C9" s="4">
        <f ca="1">SUBTOTAL(9,Flow10[Opening balance])</f>
        <v>16269.95</v>
      </c>
      <c r="D9" s="4">
        <f ca="1">SUBTOTAL(109,Flow10[Operations])</f>
        <v>1670</v>
      </c>
      <c r="E9" s="4">
        <f ca="1">SUBTOTAL(109,Flow10[Closing balance])</f>
        <v>17939.95</v>
      </c>
      <c r="J9" t="s">
        <v>23</v>
      </c>
      <c r="K9" s="4">
        <f ca="1">SUMIFS(operations[Amount], operations[Category], Expenses10[[#This Row],[Category]], operations[Month], $B$11)</f>
        <v>0</v>
      </c>
    </row>
    <row r="10" spans="1:11" x14ac:dyDescent="0.3">
      <c r="J10" t="s">
        <v>16</v>
      </c>
      <c r="K10" s="4">
        <f ca="1">SUMIFS(operations[Amount], operations[Category], Expenses10[[#This Row],[Category]], operations[Month], $B$11)</f>
        <v>-150</v>
      </c>
    </row>
    <row r="11" spans="1:11" ht="15" thickBot="1" x14ac:dyDescent="0.35">
      <c r="A11" s="5" t="s">
        <v>6</v>
      </c>
      <c r="B11" s="19" t="str" cm="1">
        <f t="array" aca="1" ref="B11" ca="1">_xlfn.TEXTAFTER(CELL("filename",A1),"]")</f>
        <v>10</v>
      </c>
      <c r="C11" s="6"/>
      <c r="J11" t="s">
        <v>34</v>
      </c>
      <c r="K11" s="4">
        <f ca="1">SUBTOTAL(9,Expenses10[Total])</f>
        <v>-2830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>
        <f ca="1">SUMIFS(operations[Amount], operations[Type], Total10[[#This Row],[Type]], operations[Month], $B$11)</f>
        <v>-2830</v>
      </c>
      <c r="C14" t="s">
        <v>16</v>
      </c>
    </row>
    <row r="15" spans="1:11" x14ac:dyDescent="0.3">
      <c r="A15" t="s">
        <v>33</v>
      </c>
      <c r="B15" s="4">
        <f ca="1">SUMIFS(operations[Amount], operations[Type], Total10[[#This Row],[Type]], operations[Month], $B$11)</f>
        <v>4500</v>
      </c>
    </row>
    <row r="16" spans="1:11" x14ac:dyDescent="0.3">
      <c r="A16" t="s">
        <v>31</v>
      </c>
      <c r="B16" s="4">
        <f ca="1">SUMIFS(operations[Amount], operations[Type], Total10[[#This Row],[Type]], operations[Month], $B$11)</f>
        <v>0</v>
      </c>
    </row>
    <row r="17" spans="1:2" x14ac:dyDescent="0.3">
      <c r="A17" t="s">
        <v>34</v>
      </c>
      <c r="B17" s="4">
        <f ca="1">SUBTOTAL(9,Total10[Total])</f>
        <v>1670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CEF4-9192-4521-9309-25E732642BC5}">
  <dimension ref="A1:K17"/>
  <sheetViews>
    <sheetView workbookViewId="0">
      <selection activeCell="J10" sqref="J10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6.5546875" customWidth="1"/>
    <col min="7" max="7" width="18" customWidth="1"/>
    <col min="8" max="8" width="24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 cm="1">
        <f t="array" aca="1" ref="C2" ca="1">INDIRECT("Flow" &amp; $B$11-1 &amp; "[@[Closing balance]]")</f>
        <v>548.5</v>
      </c>
      <c r="D2" s="4">
        <f ca="1">SUMIFS(operations[Amount],operations[Bank],Flow11[[#This Row],[Bank]],operations[Product],Flow11[[#This Row],[Product]],operations[Month],$B$11)</f>
        <v>0</v>
      </c>
      <c r="E2" s="4">
        <f ca="1">Flow11[[#This Row],[Opening balance]]+Flow11[[#This Row],[Operations]]</f>
        <v>548.5</v>
      </c>
      <c r="G2" t="s">
        <v>25</v>
      </c>
      <c r="H2" s="4">
        <f ca="1">SUMIFS(operations[Amount], operations[Category], Incomes11[[#This Row],[Category]], operations[Month], $B$11)</f>
        <v>0</v>
      </c>
      <c r="J2" t="s">
        <v>18</v>
      </c>
      <c r="K2" s="4">
        <f ca="1">SUMIFS(operations[Amount], operations[Category], Expenses11[[#This Row],[Category]], operations[Month], $B$11)</f>
        <v>-2000</v>
      </c>
    </row>
    <row r="3" spans="1:11" x14ac:dyDescent="0.3">
      <c r="A3" t="s">
        <v>11</v>
      </c>
      <c r="B3" t="s">
        <v>12</v>
      </c>
      <c r="C3" s="4" cm="1">
        <f t="array" aca="1" ref="C3" ca="1">INDIRECT("Flow" &amp; $B$11-1 &amp; "[@[Closing balance]]")</f>
        <v>1086</v>
      </c>
      <c r="D3" s="4">
        <f ca="1">SUMIFS(operations[Amount],operations[Bank],Flow11[[#This Row],[Bank]],operations[Product],Flow11[[#This Row],[Product]],operations[Month],$B$11)</f>
        <v>0</v>
      </c>
      <c r="E3" s="4">
        <f ca="1">Flow11[[#This Row],[Opening balance]]+Flow11[[#This Row],[Operations]]</f>
        <v>1086</v>
      </c>
      <c r="G3" t="s">
        <v>28</v>
      </c>
      <c r="H3" s="4">
        <f ca="1">SUMIFS(operations[Amount], operations[Category], Incomes11[[#This Row],[Category]], operations[Month], $B$11)</f>
        <v>0</v>
      </c>
      <c r="J3" t="s">
        <v>22</v>
      </c>
      <c r="K3" s="4">
        <f ca="1">SUMIFS(operations[Amount], operations[Category], Expenses11[[#This Row],[Category]], operations[Month], $B$11)</f>
        <v>-158</v>
      </c>
    </row>
    <row r="4" spans="1:11" x14ac:dyDescent="0.3">
      <c r="A4" t="s">
        <v>7</v>
      </c>
      <c r="B4" t="s">
        <v>8</v>
      </c>
      <c r="C4" s="4" cm="1">
        <f t="array" aca="1" ref="C4" ca="1">INDIRECT("Flow" &amp; $B$11-1 &amp; "[@[Closing balance]]")</f>
        <v>15756.94</v>
      </c>
      <c r="D4" s="4">
        <f ca="1">SUMIFS(operations[Amount],operations[Bank],Flow11[[#This Row],[Bank]],operations[Product],Flow11[[#This Row],[Product]],operations[Month],$B$11)</f>
        <v>960</v>
      </c>
      <c r="E4" s="4">
        <f ca="1">Flow11[[#This Row],[Opening balance]]+Flow11[[#This Row],[Operations]]</f>
        <v>16716.940000000002</v>
      </c>
      <c r="G4" t="s">
        <v>29</v>
      </c>
      <c r="H4" s="4">
        <f ca="1">SUMIFS(operations[Amount], operations[Category], Incomes11[[#This Row],[Category]], operations[Month], $B$11)</f>
        <v>400</v>
      </c>
      <c r="J4" t="s">
        <v>20</v>
      </c>
      <c r="K4" s="4">
        <f ca="1">SUMIFS(operations[Amount], operations[Category], Expenses11[[#This Row],[Category]], operations[Month], $B$11)</f>
        <v>-214</v>
      </c>
    </row>
    <row r="5" spans="1:11" x14ac:dyDescent="0.3">
      <c r="A5" t="s">
        <v>7</v>
      </c>
      <c r="B5" t="s">
        <v>9</v>
      </c>
      <c r="C5" s="4" cm="1">
        <f t="array" aca="1" ref="C5" ca="1">INDIRECT("Flow" &amp; $B$11-1 &amp; "[@[Closing balance]]")</f>
        <v>-40</v>
      </c>
      <c r="D5" s="4">
        <f ca="1">SUMIFS(operations[Amount],operations[Bank],Flow11[[#This Row],[Bank]],operations[Product],Flow11[[#This Row],[Product]],operations[Month],$B$11)</f>
        <v>40</v>
      </c>
      <c r="E5" s="4">
        <f ca="1">Flow11[[#This Row],[Opening balance]]+Flow11[[#This Row],[Operations]]</f>
        <v>0</v>
      </c>
      <c r="G5" t="s">
        <v>30</v>
      </c>
      <c r="H5" s="4">
        <f ca="1">SUMIFS(operations[Amount], operations[Category], Incomes11[[#This Row],[Category]], operations[Month], $B$11)</f>
        <v>0</v>
      </c>
      <c r="J5" t="s">
        <v>17</v>
      </c>
      <c r="K5" s="4">
        <f ca="1">SUMIFS(operations[Amount], operations[Category], Expenses11[[#This Row],[Category]], operations[Month], $B$11)</f>
        <v>-506</v>
      </c>
    </row>
    <row r="6" spans="1:11" x14ac:dyDescent="0.3">
      <c r="A6" t="s">
        <v>7</v>
      </c>
      <c r="B6" t="s">
        <v>10</v>
      </c>
      <c r="C6" s="4" cm="1">
        <f t="array" aca="1" ref="C6" ca="1">INDIRECT("Flow" &amp; $B$11-1 &amp; "[@[Closing balance]]")</f>
        <v>0</v>
      </c>
      <c r="D6" s="4">
        <f ca="1">SUMIFS(operations[Amount],operations[Bank],Flow11[[#This Row],[Bank]],operations[Product],Flow11[[#This Row],[Product]],operations[Month],$B$11)</f>
        <v>0</v>
      </c>
      <c r="E6" s="4">
        <f ca="1">Flow11[[#This Row],[Opening balance]]+Flow11[[#This Row],[Operations]]</f>
        <v>0</v>
      </c>
      <c r="G6" t="s">
        <v>26</v>
      </c>
      <c r="H6" s="4">
        <f ca="1">SUMIFS(operations[Amount], operations[Category], Incomes11[[#This Row],[Category]], operations[Month], $B$11)</f>
        <v>4500</v>
      </c>
      <c r="J6" t="s">
        <v>21</v>
      </c>
      <c r="K6" s="4">
        <f ca="1">SUMIFS(operations[Amount], operations[Category], Expenses11[[#This Row],[Category]], operations[Month], $B$11)</f>
        <v>-133</v>
      </c>
    </row>
    <row r="7" spans="1:11" x14ac:dyDescent="0.3">
      <c r="A7" t="s">
        <v>13</v>
      </c>
      <c r="B7" t="s">
        <v>15</v>
      </c>
      <c r="C7" s="4" cm="1">
        <f t="array" aca="1" ref="C7" ca="1">INDIRECT("Flow" &amp; $B$11-1 &amp; "[@[Closing balance]]")</f>
        <v>195.51</v>
      </c>
      <c r="D7" s="4">
        <f ca="1">SUMIFS(operations[Amount],operations[Bank],Flow11[[#This Row],[Bank]],operations[Product],Flow11[[#This Row],[Product]],operations[Month],$B$11)</f>
        <v>0</v>
      </c>
      <c r="E7" s="4">
        <f ca="1">Flow11[[#This Row],[Opening balance]]+Flow11[[#This Row],[Operations]]</f>
        <v>195.51</v>
      </c>
      <c r="G7" t="s">
        <v>27</v>
      </c>
      <c r="H7" s="4">
        <f ca="1">SUMIFS(operations[Amount], operations[Category], Incomes11[[#This Row],[Category]], operations[Month], $B$11)</f>
        <v>0</v>
      </c>
      <c r="J7" t="s">
        <v>19</v>
      </c>
      <c r="K7" s="4">
        <f ca="1">SUMIFS(operations[Amount], operations[Category], Expenses11[[#This Row],[Category]], operations[Month], $B$11)</f>
        <v>-47</v>
      </c>
    </row>
    <row r="8" spans="1:11" x14ac:dyDescent="0.3">
      <c r="A8" t="s">
        <v>13</v>
      </c>
      <c r="B8" t="s">
        <v>14</v>
      </c>
      <c r="C8" s="4" cm="1">
        <f t="array" aca="1" ref="C8" ca="1">INDIRECT("Flow" &amp; $B$11-1 &amp; "[@[Closing balance]]")</f>
        <v>393</v>
      </c>
      <c r="D8" s="4">
        <f ca="1">SUMIFS(operations[Amount],operations[Bank],Flow11[[#This Row],[Bank]],operations[Product],Flow11[[#This Row],[Product]],operations[Month],$B$11)</f>
        <v>400</v>
      </c>
      <c r="E8" s="4">
        <f ca="1">Flow11[[#This Row],[Opening balance]]+Flow11[[#This Row],[Operations]]</f>
        <v>793</v>
      </c>
      <c r="G8" t="s">
        <v>34</v>
      </c>
      <c r="H8" s="4">
        <f ca="1">SUBTOTAL(9,Incomes11[Total])</f>
        <v>4900</v>
      </c>
      <c r="J8" t="s">
        <v>24</v>
      </c>
      <c r="K8" s="4">
        <f ca="1">SUMIFS(operations[Amount], operations[Category], Expenses11[[#This Row],[Category]], operations[Month], $B$11)</f>
        <v>-234</v>
      </c>
    </row>
    <row r="9" spans="1:11" x14ac:dyDescent="0.3">
      <c r="A9" t="s">
        <v>34</v>
      </c>
      <c r="C9" s="4">
        <f ca="1">SUBTOTAL(9,Flow11[Opening balance])</f>
        <v>17939.95</v>
      </c>
      <c r="D9" s="4">
        <f ca="1">SUBTOTAL(109,Flow11[Operations])</f>
        <v>1400</v>
      </c>
      <c r="E9" s="4">
        <f ca="1">SUBTOTAL(109,Flow11[Closing balance])</f>
        <v>19339.95</v>
      </c>
      <c r="J9" t="s">
        <v>23</v>
      </c>
      <c r="K9" s="4">
        <f ca="1">SUMIFS(operations[Amount], operations[Category], Expenses11[[#This Row],[Category]], operations[Month], $B$11)</f>
        <v>0</v>
      </c>
    </row>
    <row r="10" spans="1:11" x14ac:dyDescent="0.3">
      <c r="J10" t="s">
        <v>16</v>
      </c>
      <c r="K10" s="4">
        <f ca="1">SUMIFS(operations[Amount], operations[Category], Expenses11[[#This Row],[Category]], operations[Month], $B$11)</f>
        <v>-208</v>
      </c>
    </row>
    <row r="11" spans="1:11" ht="15" thickBot="1" x14ac:dyDescent="0.35">
      <c r="A11" s="5" t="s">
        <v>6</v>
      </c>
      <c r="B11" s="19" t="str" cm="1">
        <f t="array" aca="1" ref="B11" ca="1">_xlfn.TEXTAFTER(CELL("filename",A1),"]")</f>
        <v>11</v>
      </c>
      <c r="C11" s="6"/>
      <c r="J11" t="s">
        <v>34</v>
      </c>
      <c r="K11" s="4">
        <f ca="1">SUBTOTAL(9,Expenses11[Total])</f>
        <v>-3500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>
        <f ca="1">SUMIFS(operations[Amount], operations[Type], Total11[[#This Row],[Type]], operations[Month], $B$11)</f>
        <v>-3500</v>
      </c>
    </row>
    <row r="15" spans="1:11" x14ac:dyDescent="0.3">
      <c r="A15" t="s">
        <v>33</v>
      </c>
      <c r="B15" s="4">
        <f ca="1">SUMIFS(operations[Amount], operations[Type], Total11[[#This Row],[Type]], operations[Month], $B$11)</f>
        <v>4900</v>
      </c>
    </row>
    <row r="16" spans="1:11" x14ac:dyDescent="0.3">
      <c r="A16" t="s">
        <v>31</v>
      </c>
      <c r="B16" s="4">
        <f ca="1">SUMIFS(operations[Amount], operations[Type], Total11[[#This Row],[Type]], operations[Month], $B$11)</f>
        <v>0</v>
      </c>
    </row>
    <row r="17" spans="1:2" x14ac:dyDescent="0.3">
      <c r="A17" t="s">
        <v>34</v>
      </c>
      <c r="B17" s="4">
        <f ca="1">SUBTOTAL(9,Total11[Total])</f>
        <v>1400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93D4-64A7-4623-8672-EC8E35A0B823}">
  <dimension ref="A1:K17"/>
  <sheetViews>
    <sheetView workbookViewId="0">
      <selection activeCell="C2" sqref="C2"/>
    </sheetView>
  </sheetViews>
  <sheetFormatPr defaultRowHeight="14.4" x14ac:dyDescent="0.3"/>
  <cols>
    <col min="1" max="1" width="31.44140625" customWidth="1"/>
    <col min="2" max="2" width="28.44140625" customWidth="1"/>
    <col min="3" max="3" width="24.6640625" customWidth="1"/>
    <col min="4" max="4" width="19.109375" customWidth="1"/>
    <col min="5" max="5" width="16.5546875" customWidth="1"/>
    <col min="7" max="7" width="18" customWidth="1"/>
    <col min="8" max="8" width="24.44140625" customWidth="1"/>
    <col min="10" max="10" width="16.44140625" customWidth="1"/>
    <col min="11" max="11" width="14.109375" customWidth="1"/>
  </cols>
  <sheetData>
    <row r="1" spans="1:11" x14ac:dyDescent="0.3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3">
      <c r="A2" t="s">
        <v>11</v>
      </c>
      <c r="B2" t="s">
        <v>8</v>
      </c>
      <c r="C2" s="4" cm="1">
        <f t="array" aca="1" ref="C2" ca="1">INDIRECT("Flow" &amp; $B$11-1 &amp; "[@[Closing balance]]")</f>
        <v>548.5</v>
      </c>
      <c r="D2" s="4">
        <f ca="1">SUMIFS(operations[Amount],operations[Bank],Flow12[[#This Row],[Bank]],operations[Product],Flow12[[#This Row],[Product]],operations[Month],$B$11)</f>
        <v>0</v>
      </c>
      <c r="E2" s="4">
        <f ca="1">Flow12[[#This Row],[Opening balance]]+Flow12[[#This Row],[Operations]]</f>
        <v>548.5</v>
      </c>
      <c r="G2" t="s">
        <v>25</v>
      </c>
      <c r="H2" s="4">
        <f ca="1">SUMIFS(operations[Amount], operations[Category], Incomes12[[#This Row],[Category]], operations[Month], $B$11)</f>
        <v>0</v>
      </c>
      <c r="J2" t="s">
        <v>18</v>
      </c>
      <c r="K2" s="4">
        <f ca="1">SUMIFS(operations[Amount], operations[Category], Expenses12[[#This Row],[Category]], operations[Month], $B$11)</f>
        <v>-2000</v>
      </c>
    </row>
    <row r="3" spans="1:11" x14ac:dyDescent="0.3">
      <c r="A3" t="s">
        <v>11</v>
      </c>
      <c r="B3" t="s">
        <v>12</v>
      </c>
      <c r="C3" s="4" cm="1">
        <f t="array" aca="1" ref="C3" ca="1">INDIRECT("Flow" &amp; $B$11-1 &amp; "[@[Closing balance]]")</f>
        <v>1086</v>
      </c>
      <c r="D3" s="4">
        <f ca="1">SUMIFS(operations[Amount],operations[Bank],Flow12[[#This Row],[Bank]],operations[Product],Flow12[[#This Row],[Product]],operations[Month],$B$11)</f>
        <v>0</v>
      </c>
      <c r="E3" s="4">
        <f ca="1">Flow12[[#This Row],[Opening balance]]+Flow12[[#This Row],[Operations]]</f>
        <v>1086</v>
      </c>
      <c r="G3" t="s">
        <v>28</v>
      </c>
      <c r="H3" s="4">
        <f ca="1">SUMIFS(operations[Amount], operations[Category], Incomes12[[#This Row],[Category]], operations[Month], $B$11)</f>
        <v>0</v>
      </c>
      <c r="J3" t="s">
        <v>22</v>
      </c>
      <c r="K3" s="4">
        <f ca="1">SUMIFS(operations[Amount], operations[Category], Expenses12[[#This Row],[Category]], operations[Month], $B$11)</f>
        <v>-120</v>
      </c>
    </row>
    <row r="4" spans="1:11" x14ac:dyDescent="0.3">
      <c r="A4" t="s">
        <v>7</v>
      </c>
      <c r="B4" t="s">
        <v>8</v>
      </c>
      <c r="C4" s="4" cm="1">
        <f t="array" aca="1" ref="C4" ca="1">INDIRECT("Flow" &amp; $B$11-1 &amp; "[@[Closing balance]]")</f>
        <v>16716.940000000002</v>
      </c>
      <c r="D4" s="4">
        <f ca="1">SUMIFS(operations[Amount],operations[Bank],Flow12[[#This Row],[Bank]],operations[Product],Flow12[[#This Row],[Product]],operations[Month],$B$11)</f>
        <v>1320</v>
      </c>
      <c r="E4" s="4">
        <f ca="1">Flow12[[#This Row],[Opening balance]]+Flow12[[#This Row],[Operations]]</f>
        <v>18036.940000000002</v>
      </c>
      <c r="G4" t="s">
        <v>29</v>
      </c>
      <c r="H4" s="4">
        <f ca="1">SUMIFS(operations[Amount], operations[Category], Incomes12[[#This Row],[Category]], operations[Month], $B$11)</f>
        <v>2000</v>
      </c>
      <c r="J4" t="s">
        <v>20</v>
      </c>
      <c r="K4" s="4">
        <f ca="1">SUMIFS(operations[Amount], operations[Category], Expenses12[[#This Row],[Category]], operations[Month], $B$11)</f>
        <v>-450</v>
      </c>
    </row>
    <row r="5" spans="1:11" x14ac:dyDescent="0.3">
      <c r="A5" t="s">
        <v>7</v>
      </c>
      <c r="B5" t="s">
        <v>9</v>
      </c>
      <c r="C5" s="4" cm="1">
        <f t="array" aca="1" ref="C5" ca="1">INDIRECT("Flow" &amp; $B$11-1 &amp; "[@[Closing balance]]")</f>
        <v>0</v>
      </c>
      <c r="D5" s="4">
        <f ca="1">SUMIFS(operations[Amount],operations[Bank],Flow12[[#This Row],[Bank]],operations[Product],Flow12[[#This Row],[Product]],operations[Month],$B$11)</f>
        <v>0</v>
      </c>
      <c r="E5" s="4">
        <f ca="1">Flow12[[#This Row],[Opening balance]]+Flow12[[#This Row],[Operations]]</f>
        <v>0</v>
      </c>
      <c r="G5" t="s">
        <v>30</v>
      </c>
      <c r="H5" s="4">
        <f ca="1">SUMIFS(operations[Amount], operations[Category], Incomes12[[#This Row],[Category]], operations[Month], $B$11)</f>
        <v>0</v>
      </c>
      <c r="J5" t="s">
        <v>17</v>
      </c>
      <c r="K5" s="4">
        <f ca="1">SUMIFS(operations[Amount], operations[Category], Expenses12[[#This Row],[Category]], operations[Month], $B$11)</f>
        <v>-700</v>
      </c>
    </row>
    <row r="6" spans="1:11" x14ac:dyDescent="0.3">
      <c r="A6" t="s">
        <v>7</v>
      </c>
      <c r="B6" t="s">
        <v>10</v>
      </c>
      <c r="C6" s="4" cm="1">
        <f t="array" aca="1" ref="C6" ca="1">INDIRECT("Flow" &amp; $B$11-1 &amp; "[@[Closing balance]]")</f>
        <v>0</v>
      </c>
      <c r="D6" s="4">
        <f ca="1">SUMIFS(operations[Amount],operations[Bank],Flow12[[#This Row],[Bank]],operations[Product],Flow12[[#This Row],[Product]],operations[Month],$B$11)</f>
        <v>0</v>
      </c>
      <c r="E6" s="4">
        <f ca="1">Flow12[[#This Row],[Opening balance]]+Flow12[[#This Row],[Operations]]</f>
        <v>0</v>
      </c>
      <c r="G6" t="s">
        <v>26</v>
      </c>
      <c r="H6" s="4">
        <f ca="1">SUMIFS(operations[Amount], operations[Category], Incomes12[[#This Row],[Category]], operations[Month], $B$11)</f>
        <v>4500</v>
      </c>
      <c r="J6" t="s">
        <v>21</v>
      </c>
      <c r="K6" s="4">
        <f ca="1">SUMIFS(operations[Amount], operations[Category], Expenses12[[#This Row],[Category]], operations[Month], $B$11)</f>
        <v>-10</v>
      </c>
    </row>
    <row r="7" spans="1:11" x14ac:dyDescent="0.3">
      <c r="A7" t="s">
        <v>13</v>
      </c>
      <c r="B7" t="s">
        <v>15</v>
      </c>
      <c r="C7" s="4" cm="1">
        <f t="array" aca="1" ref="C7" ca="1">INDIRECT("Flow" &amp; $B$11-1 &amp; "[@[Closing balance]]")</f>
        <v>195.51</v>
      </c>
      <c r="D7" s="4">
        <f ca="1">SUMIFS(operations[Amount],operations[Bank],Flow12[[#This Row],[Bank]],operations[Product],Flow12[[#This Row],[Product]],operations[Month],$B$11)</f>
        <v>0</v>
      </c>
      <c r="E7" s="4">
        <f ca="1">Flow12[[#This Row],[Opening balance]]+Flow12[[#This Row],[Operations]]</f>
        <v>195.51</v>
      </c>
      <c r="G7" t="s">
        <v>27</v>
      </c>
      <c r="H7" s="4">
        <f ca="1">SUMIFS(operations[Amount], operations[Category], Incomes12[[#This Row],[Category]], operations[Month], $B$11)</f>
        <v>0</v>
      </c>
      <c r="J7" t="s">
        <v>19</v>
      </c>
      <c r="K7" s="4">
        <f ca="1">SUMIFS(operations[Amount], operations[Category], Expenses12[[#This Row],[Category]], operations[Month], $B$11)</f>
        <v>0</v>
      </c>
    </row>
    <row r="8" spans="1:11" x14ac:dyDescent="0.3">
      <c r="A8" t="s">
        <v>13</v>
      </c>
      <c r="B8" t="s">
        <v>14</v>
      </c>
      <c r="C8" s="4" cm="1">
        <f t="array" aca="1" ref="C8" ca="1">INDIRECT("Flow" &amp; $B$11-1 &amp; "[@[Closing balance]]")</f>
        <v>793</v>
      </c>
      <c r="D8" s="4">
        <f ca="1">SUMIFS(operations[Amount],operations[Bank],Flow12[[#This Row],[Bank]],operations[Product],Flow12[[#This Row],[Product]],operations[Month],$B$11)</f>
        <v>1100</v>
      </c>
      <c r="E8" s="4">
        <f ca="1">Flow12[[#This Row],[Opening balance]]+Flow12[[#This Row],[Operations]]</f>
        <v>1893</v>
      </c>
      <c r="G8" t="s">
        <v>34</v>
      </c>
      <c r="H8" s="4">
        <f ca="1">SUBTOTAL(9,Incomes12[Total])</f>
        <v>6500</v>
      </c>
      <c r="J8" t="s">
        <v>24</v>
      </c>
      <c r="K8" s="4">
        <f ca="1">SUMIFS(operations[Amount], operations[Category], Expenses12[[#This Row],[Category]], operations[Month], $B$11)</f>
        <v>-700</v>
      </c>
    </row>
    <row r="9" spans="1:11" x14ac:dyDescent="0.3">
      <c r="A9" t="s">
        <v>34</v>
      </c>
      <c r="C9" s="4">
        <f ca="1">SUBTOTAL(9,Flow12[Opening balance])</f>
        <v>19339.95</v>
      </c>
      <c r="D9" s="4">
        <f ca="1">SUBTOTAL(109,Flow12[Operations])</f>
        <v>2420</v>
      </c>
      <c r="E9" s="4">
        <f ca="1">SUBTOTAL(109,Flow12[Closing balance])</f>
        <v>21759.95</v>
      </c>
      <c r="J9" t="s">
        <v>23</v>
      </c>
      <c r="K9" s="4">
        <f ca="1">SUMIFS(operations[Amount], operations[Category], Expenses12[[#This Row],[Category]], operations[Month], $B$11)</f>
        <v>-100</v>
      </c>
    </row>
    <row r="10" spans="1:11" x14ac:dyDescent="0.3">
      <c r="J10" t="s">
        <v>16</v>
      </c>
      <c r="K10" s="4">
        <f ca="1">SUMIFS(operations[Amount], operations[Category], Expenses12[[#This Row],[Category]], operations[Month], $B$11)</f>
        <v>0</v>
      </c>
    </row>
    <row r="11" spans="1:11" ht="15" thickBot="1" x14ac:dyDescent="0.35">
      <c r="A11" s="5" t="s">
        <v>6</v>
      </c>
      <c r="B11" s="19" t="str" cm="1">
        <f t="array" aca="1" ref="B11" ca="1">_xlfn.TEXTAFTER(CELL("filename",A1),"]")</f>
        <v>12</v>
      </c>
      <c r="C11" s="6"/>
      <c r="J11" t="s">
        <v>34</v>
      </c>
      <c r="K11" s="4">
        <f ca="1">SUBTOTAL(9,Expenses12[Total])</f>
        <v>-4080</v>
      </c>
    </row>
    <row r="12" spans="1:11" ht="15" thickTop="1" x14ac:dyDescent="0.3"/>
    <row r="13" spans="1:11" x14ac:dyDescent="0.3">
      <c r="A13" t="s">
        <v>4</v>
      </c>
      <c r="B13" t="s">
        <v>34</v>
      </c>
    </row>
    <row r="14" spans="1:11" x14ac:dyDescent="0.3">
      <c r="A14" t="s">
        <v>32</v>
      </c>
      <c r="B14" s="4">
        <f ca="1">SUMIFS(operations[Amount], operations[Type], Total12[[#This Row],[Type]], operations[Month], $B$11)</f>
        <v>-4080</v>
      </c>
    </row>
    <row r="15" spans="1:11" x14ac:dyDescent="0.3">
      <c r="A15" t="s">
        <v>33</v>
      </c>
      <c r="B15" s="4">
        <f ca="1">SUMIFS(operations[Amount], operations[Type], Total12[[#This Row],[Type]], operations[Month], $B$11)</f>
        <v>6500</v>
      </c>
    </row>
    <row r="16" spans="1:11" x14ac:dyDescent="0.3">
      <c r="A16" t="s">
        <v>31</v>
      </c>
      <c r="B16" s="4">
        <f ca="1">SUMIFS(operations[Amount], operations[Type], Total12[[#This Row],[Type]], operations[Month], $B$11)</f>
        <v>0</v>
      </c>
    </row>
    <row r="17" spans="1:2" x14ac:dyDescent="0.3">
      <c r="A17" t="s">
        <v>34</v>
      </c>
      <c r="B17" s="4">
        <f ca="1">SUBTOTAL(9,Total12[Total])</f>
        <v>2420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C590BB-7FF4-4969-89EC-3C4D670274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operations</vt:lpstr>
      <vt:lpstr>Summary1</vt:lpstr>
      <vt:lpstr>Summary2</vt:lpstr>
      <vt:lpstr>Summary3</vt:lpstr>
      <vt:lpstr>Dictionary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Yevhen Pyrih</cp:lastModifiedBy>
  <dcterms:created xsi:type="dcterms:W3CDTF">2024-12-14T15:11:08Z</dcterms:created>
  <dcterms:modified xsi:type="dcterms:W3CDTF">2025-12-17T15:15:03Z</dcterms:modified>
</cp:coreProperties>
</file>