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5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6.xml" ContentType="application/vnd.openxmlformats-officedocument.drawing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7.xml" ContentType="application/vnd.openxmlformats-officedocument.drawing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8.xml" ContentType="application/vnd.openxmlformats-officedocument.drawing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9.xml" ContentType="application/vnd.openxmlformats-officedocument.drawing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10.xml" ContentType="application/vnd.openxmlformats-officedocument.drawing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1.xml" ContentType="application/vnd.openxmlformats-officedocument.drawing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12.xml" ContentType="application/vnd.openxmlformats-officedocument.drawing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ivaldi\Завантаження\Bussiness data processing\"/>
    </mc:Choice>
  </mc:AlternateContent>
  <xr:revisionPtr revIDLastSave="0" documentId="13_ncr:1_{AC91A8C5-5398-4C8D-8F8B-5040016CB411}" xr6:coauthVersionLast="47" xr6:coauthVersionMax="47" xr10:uidLastSave="{00000000-0000-0000-0000-000000000000}"/>
  <bookViews>
    <workbookView xWindow="-108" yWindow="-108" windowWidth="23256" windowHeight="12720" xr2:uid="{5FB55F4A-ADCD-4FB3-95A5-9868C5662823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7" sheetId="7" r:id="rId7"/>
    <sheet name="8" sheetId="8" r:id="rId8"/>
    <sheet name="9" sheetId="9" r:id="rId9"/>
    <sheet name="10" sheetId="10" r:id="rId10"/>
    <sheet name="11" sheetId="11" r:id="rId11"/>
    <sheet name="12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12" l="1"/>
  <c r="V25" i="12"/>
  <c r="S25" i="12"/>
  <c r="R25" i="12"/>
  <c r="N25" i="12"/>
  <c r="M25" i="12"/>
  <c r="G25" i="12"/>
  <c r="B25" i="12"/>
  <c r="X24" i="12"/>
  <c r="X23" i="12"/>
  <c r="X22" i="12"/>
  <c r="X21" i="12"/>
  <c r="X20" i="12"/>
  <c r="X19" i="12"/>
  <c r="X18" i="12"/>
  <c r="X17" i="12"/>
  <c r="X16" i="12"/>
  <c r="X15" i="12"/>
  <c r="X25" i="12" s="1"/>
  <c r="A2" i="12" a="1"/>
  <c r="A2" i="12" s="1"/>
  <c r="W25" i="11"/>
  <c r="V25" i="11"/>
  <c r="S25" i="11"/>
  <c r="R25" i="11"/>
  <c r="N25" i="11"/>
  <c r="M25" i="11"/>
  <c r="G25" i="11"/>
  <c r="B25" i="11"/>
  <c r="X24" i="11"/>
  <c r="X23" i="11"/>
  <c r="X22" i="11"/>
  <c r="X21" i="11"/>
  <c r="X20" i="11"/>
  <c r="X19" i="11"/>
  <c r="X18" i="11"/>
  <c r="X17" i="11"/>
  <c r="X16" i="11"/>
  <c r="X15" i="11"/>
  <c r="X25" i="11" s="1"/>
  <c r="A2" i="11" a="1"/>
  <c r="A2" i="11" s="1"/>
  <c r="W25" i="10"/>
  <c r="V25" i="10"/>
  <c r="S25" i="10"/>
  <c r="R25" i="10"/>
  <c r="N25" i="10"/>
  <c r="M25" i="10"/>
  <c r="G25" i="10"/>
  <c r="B25" i="10"/>
  <c r="X24" i="10"/>
  <c r="X23" i="10"/>
  <c r="X22" i="10"/>
  <c r="X21" i="10"/>
  <c r="X20" i="10"/>
  <c r="X19" i="10"/>
  <c r="X18" i="10"/>
  <c r="X25" i="10" s="1"/>
  <c r="X17" i="10"/>
  <c r="X16" i="10"/>
  <c r="X15" i="10"/>
  <c r="A2" i="10" a="1"/>
  <c r="A2" i="10" s="1"/>
  <c r="W25" i="9"/>
  <c r="V25" i="9"/>
  <c r="S25" i="9"/>
  <c r="R25" i="9"/>
  <c r="N25" i="9"/>
  <c r="M25" i="9"/>
  <c r="G25" i="9"/>
  <c r="B25" i="9"/>
  <c r="X24" i="9"/>
  <c r="X23" i="9"/>
  <c r="X22" i="9"/>
  <c r="X21" i="9"/>
  <c r="X20" i="9"/>
  <c r="X19" i="9"/>
  <c r="X18" i="9"/>
  <c r="X17" i="9"/>
  <c r="X16" i="9"/>
  <c r="X15" i="9"/>
  <c r="X25" i="9" s="1"/>
  <c r="A2" i="9" a="1"/>
  <c r="A2" i="9" s="1"/>
  <c r="W25" i="8"/>
  <c r="V25" i="8"/>
  <c r="S25" i="8"/>
  <c r="R25" i="8"/>
  <c r="N25" i="8"/>
  <c r="M25" i="8"/>
  <c r="G25" i="8"/>
  <c r="B25" i="8"/>
  <c r="X24" i="8"/>
  <c r="X23" i="8"/>
  <c r="X22" i="8"/>
  <c r="X21" i="8"/>
  <c r="X20" i="8"/>
  <c r="X19" i="8"/>
  <c r="X18" i="8"/>
  <c r="X17" i="8"/>
  <c r="X16" i="8"/>
  <c r="X15" i="8"/>
  <c r="X25" i="8" s="1"/>
  <c r="A2" i="8" a="1"/>
  <c r="A2" i="8" s="1"/>
  <c r="W25" i="7"/>
  <c r="V25" i="7"/>
  <c r="S25" i="7"/>
  <c r="R25" i="7"/>
  <c r="N25" i="7"/>
  <c r="M25" i="7"/>
  <c r="G25" i="7"/>
  <c r="B25" i="7"/>
  <c r="X24" i="7"/>
  <c r="X23" i="7"/>
  <c r="X22" i="7"/>
  <c r="X21" i="7"/>
  <c r="X20" i="7"/>
  <c r="X19" i="7"/>
  <c r="X18" i="7"/>
  <c r="X17" i="7"/>
  <c r="X16" i="7"/>
  <c r="X15" i="7"/>
  <c r="X25" i="7" s="1"/>
  <c r="A2" i="7" a="1"/>
  <c r="A2" i="7" s="1"/>
  <c r="W25" i="6"/>
  <c r="V25" i="6"/>
  <c r="S25" i="6"/>
  <c r="R25" i="6"/>
  <c r="N25" i="6"/>
  <c r="M25" i="6"/>
  <c r="G25" i="6"/>
  <c r="B25" i="6"/>
  <c r="X24" i="6"/>
  <c r="X23" i="6"/>
  <c r="X22" i="6"/>
  <c r="X21" i="6"/>
  <c r="X20" i="6"/>
  <c r="X19" i="6"/>
  <c r="X18" i="6"/>
  <c r="X17" i="6"/>
  <c r="X16" i="6"/>
  <c r="X15" i="6"/>
  <c r="X25" i="6" s="1"/>
  <c r="A2" i="6" a="1"/>
  <c r="A2" i="6" s="1"/>
  <c r="W25" i="5"/>
  <c r="V25" i="5"/>
  <c r="S25" i="5"/>
  <c r="R25" i="5"/>
  <c r="N25" i="5"/>
  <c r="M25" i="5"/>
  <c r="G25" i="5"/>
  <c r="B25" i="5"/>
  <c r="X24" i="5"/>
  <c r="X23" i="5"/>
  <c r="X22" i="5"/>
  <c r="X21" i="5"/>
  <c r="X20" i="5"/>
  <c r="X19" i="5"/>
  <c r="X18" i="5"/>
  <c r="X17" i="5"/>
  <c r="X16" i="5"/>
  <c r="X15" i="5"/>
  <c r="X25" i="5" s="1"/>
  <c r="A2" i="5" a="1"/>
  <c r="A2" i="5" s="1"/>
  <c r="W25" i="4"/>
  <c r="V25" i="4"/>
  <c r="S25" i="4"/>
  <c r="R25" i="4"/>
  <c r="N25" i="4"/>
  <c r="M25" i="4"/>
  <c r="G25" i="4"/>
  <c r="B25" i="4"/>
  <c r="X24" i="4"/>
  <c r="X23" i="4"/>
  <c r="X22" i="4"/>
  <c r="X21" i="4"/>
  <c r="X20" i="4"/>
  <c r="X19" i="4"/>
  <c r="X18" i="4"/>
  <c r="X17" i="4"/>
  <c r="X16" i="4"/>
  <c r="X15" i="4"/>
  <c r="X25" i="4" s="1"/>
  <c r="A2" i="4" a="1"/>
  <c r="A2" i="4" s="1"/>
  <c r="W25" i="3"/>
  <c r="V25" i="3"/>
  <c r="S25" i="3"/>
  <c r="R25" i="3"/>
  <c r="N25" i="3"/>
  <c r="M25" i="3"/>
  <c r="G25" i="3"/>
  <c r="B25" i="3"/>
  <c r="X24" i="3"/>
  <c r="X23" i="3"/>
  <c r="X22" i="3"/>
  <c r="X21" i="3"/>
  <c r="X20" i="3"/>
  <c r="X19" i="3"/>
  <c r="X18" i="3"/>
  <c r="X17" i="3"/>
  <c r="X16" i="3"/>
  <c r="X15" i="3"/>
  <c r="X25" i="3" s="1"/>
  <c r="A2" i="3" a="1"/>
  <c r="A2" i="3" s="1"/>
  <c r="W25" i="2"/>
  <c r="V25" i="2"/>
  <c r="S25" i="2"/>
  <c r="R25" i="2"/>
  <c r="N25" i="2"/>
  <c r="M25" i="2"/>
  <c r="G25" i="2"/>
  <c r="B25" i="2"/>
  <c r="X24" i="2"/>
  <c r="X23" i="2"/>
  <c r="X22" i="2"/>
  <c r="X21" i="2"/>
  <c r="X20" i="2"/>
  <c r="X19" i="2"/>
  <c r="X18" i="2"/>
  <c r="X17" i="2"/>
  <c r="X16" i="2"/>
  <c r="X15" i="2"/>
  <c r="X25" i="2" s="1"/>
  <c r="A2" i="2" a="1"/>
  <c r="A2" i="2" s="1"/>
  <c r="Q17" i="12" l="1"/>
  <c r="L19" i="12"/>
  <c r="L17" i="12"/>
  <c r="L21" i="12"/>
  <c r="Q15" i="12"/>
  <c r="L15" i="12"/>
  <c r="L20" i="12"/>
  <c r="Q18" i="12"/>
  <c r="L18" i="12"/>
  <c r="Q16" i="12"/>
  <c r="L16" i="12"/>
  <c r="L19" i="11"/>
  <c r="Q17" i="11"/>
  <c r="L17" i="11"/>
  <c r="L21" i="11"/>
  <c r="Q15" i="11"/>
  <c r="L15" i="11"/>
  <c r="L20" i="11"/>
  <c r="Q18" i="11"/>
  <c r="L18" i="11"/>
  <c r="Q16" i="11"/>
  <c r="L16" i="11"/>
  <c r="L19" i="10"/>
  <c r="Q17" i="10"/>
  <c r="L17" i="10"/>
  <c r="L21" i="10"/>
  <c r="Q15" i="10"/>
  <c r="L15" i="10"/>
  <c r="L20" i="10"/>
  <c r="Q18" i="10"/>
  <c r="L18" i="10"/>
  <c r="L16" i="10"/>
  <c r="Q16" i="10"/>
  <c r="L19" i="9"/>
  <c r="Q17" i="9"/>
  <c r="L17" i="9"/>
  <c r="L21" i="9"/>
  <c r="Q15" i="9"/>
  <c r="L15" i="9"/>
  <c r="L20" i="9"/>
  <c r="Q18" i="9"/>
  <c r="L18" i="9"/>
  <c r="Q16" i="9"/>
  <c r="L16" i="9"/>
  <c r="L19" i="8"/>
  <c r="Q17" i="8"/>
  <c r="L17" i="8"/>
  <c r="L16" i="8"/>
  <c r="L21" i="8"/>
  <c r="Q15" i="8"/>
  <c r="L15" i="8"/>
  <c r="L20" i="8"/>
  <c r="Q18" i="8"/>
  <c r="L18" i="8"/>
  <c r="Q16" i="8"/>
  <c r="L19" i="7"/>
  <c r="Q17" i="7"/>
  <c r="L17" i="7"/>
  <c r="L21" i="7"/>
  <c r="Q15" i="7"/>
  <c r="L15" i="7"/>
  <c r="L20" i="7"/>
  <c r="Q18" i="7"/>
  <c r="L18" i="7"/>
  <c r="L16" i="7"/>
  <c r="Q16" i="7"/>
  <c r="L19" i="6"/>
  <c r="Q17" i="6"/>
  <c r="L17" i="6"/>
  <c r="L21" i="6"/>
  <c r="Q15" i="6"/>
  <c r="L15" i="6"/>
  <c r="L20" i="6"/>
  <c r="Q18" i="6"/>
  <c r="L18" i="6"/>
  <c r="Q16" i="6"/>
  <c r="L16" i="6"/>
  <c r="L17" i="5"/>
  <c r="L21" i="5"/>
  <c r="Q15" i="5"/>
  <c r="L15" i="5"/>
  <c r="L20" i="5"/>
  <c r="Q18" i="5"/>
  <c r="L18" i="5"/>
  <c r="L19" i="5"/>
  <c r="Q16" i="5"/>
  <c r="L16" i="5"/>
  <c r="Q17" i="5"/>
  <c r="L19" i="4"/>
  <c r="Q17" i="4"/>
  <c r="L17" i="4"/>
  <c r="L21" i="4"/>
  <c r="Q15" i="4"/>
  <c r="L15" i="4"/>
  <c r="L20" i="4"/>
  <c r="Q18" i="4"/>
  <c r="L18" i="4"/>
  <c r="Q16" i="4"/>
  <c r="L16" i="4"/>
  <c r="L19" i="3"/>
  <c r="Q17" i="3"/>
  <c r="L17" i="3"/>
  <c r="L21" i="3"/>
  <c r="Q15" i="3"/>
  <c r="L15" i="3"/>
  <c r="L20" i="3"/>
  <c r="Q18" i="3"/>
  <c r="L18" i="3"/>
  <c r="Q16" i="3"/>
  <c r="L16" i="3"/>
  <c r="Q17" i="2"/>
  <c r="L19" i="2"/>
  <c r="L17" i="2"/>
  <c r="L21" i="2"/>
  <c r="Q15" i="2"/>
  <c r="L15" i="2"/>
  <c r="L20" i="2"/>
  <c r="Q18" i="2"/>
  <c r="L18" i="2"/>
  <c r="Q16" i="2"/>
  <c r="L16" i="2"/>
  <c r="B5" i="12" a="1"/>
  <c r="B6" i="12" a="1"/>
  <c r="C7" i="12" a="1"/>
  <c r="B7" i="12" a="1"/>
  <c r="B5" i="11" a="1"/>
  <c r="B6" i="11" a="1"/>
  <c r="C7" i="11" a="1"/>
  <c r="B7" i="11" a="1"/>
  <c r="B5" i="10" a="1"/>
  <c r="B6" i="10" a="1"/>
  <c r="C7" i="10" a="1"/>
  <c r="B7" i="10" a="1"/>
  <c r="B5" i="9" a="1"/>
  <c r="B6" i="9" a="1"/>
  <c r="C7" i="9" a="1"/>
  <c r="B7" i="9" a="1"/>
  <c r="B5" i="8" a="1"/>
  <c r="B6" i="8" a="1"/>
  <c r="C7" i="8" a="1"/>
  <c r="B7" i="8" a="1"/>
  <c r="B5" i="7" a="1"/>
  <c r="B6" i="7" a="1"/>
  <c r="C7" i="7" a="1"/>
  <c r="B7" i="7" a="1"/>
  <c r="B5" i="6" a="1"/>
  <c r="B6" i="6" a="1"/>
  <c r="C7" i="6" a="1"/>
  <c r="B7" i="6" a="1"/>
  <c r="B5" i="5" a="1"/>
  <c r="B6" i="5" a="1"/>
  <c r="C7" i="5" a="1"/>
  <c r="B7" i="5" a="1"/>
  <c r="B5" i="4" a="1"/>
  <c r="B6" i="4" a="1"/>
  <c r="C7" i="4" a="1"/>
  <c r="B7" i="4" a="1"/>
  <c r="B5" i="3" a="1"/>
  <c r="B6" i="3" a="1"/>
  <c r="C7" i="3" a="1"/>
  <c r="B7" i="3" a="1"/>
  <c r="B5" i="2" a="1"/>
  <c r="B6" i="2" a="1"/>
  <c r="C7" i="2" a="1"/>
  <c r="B7" i="2" a="1"/>
  <c r="B7" i="12" l="1"/>
  <c r="C7" i="12"/>
  <c r="B6" i="12"/>
  <c r="B5" i="12"/>
  <c r="B7" i="11"/>
  <c r="C7" i="11"/>
  <c r="B6" i="11"/>
  <c r="B5" i="11"/>
  <c r="B7" i="10"/>
  <c r="C7" i="10"/>
  <c r="B6" i="10"/>
  <c r="B5" i="10"/>
  <c r="B7" i="9"/>
  <c r="C7" i="9"/>
  <c r="B6" i="9"/>
  <c r="B5" i="9"/>
  <c r="B7" i="8"/>
  <c r="C7" i="8"/>
  <c r="B6" i="8"/>
  <c r="B5" i="8"/>
  <c r="B7" i="7"/>
  <c r="C7" i="7"/>
  <c r="B6" i="7"/>
  <c r="B5" i="7"/>
  <c r="B7" i="6"/>
  <c r="C7" i="6"/>
  <c r="B6" i="6"/>
  <c r="B5" i="6"/>
  <c r="B7" i="5"/>
  <c r="C7" i="5"/>
  <c r="B6" i="5"/>
  <c r="B5" i="5"/>
  <c r="B7" i="4"/>
  <c r="C7" i="4"/>
  <c r="B6" i="4"/>
  <c r="B5" i="4"/>
  <c r="B7" i="3"/>
  <c r="C7" i="3"/>
  <c r="B6" i="3"/>
  <c r="B5" i="3"/>
  <c r="B7" i="2"/>
  <c r="C7" i="2"/>
  <c r="B6" i="2"/>
  <c r="B5" i="2"/>
  <c r="D7" i="12" l="1"/>
  <c r="B9" i="12"/>
  <c r="D7" i="11"/>
  <c r="B9" i="11"/>
  <c r="D7" i="10"/>
  <c r="B9" i="10"/>
  <c r="D7" i="9"/>
  <c r="B9" i="9"/>
  <c r="B9" i="8"/>
  <c r="D7" i="8"/>
  <c r="B9" i="7"/>
  <c r="D7" i="7"/>
  <c r="D7" i="6"/>
  <c r="B9" i="6"/>
  <c r="D7" i="5"/>
  <c r="B9" i="5"/>
  <c r="B9" i="4"/>
  <c r="D7" i="4"/>
  <c r="D7" i="3"/>
  <c r="B9" i="3"/>
  <c r="B9" i="2"/>
  <c r="D7" i="2"/>
  <c r="C18" i="12" l="1" a="1"/>
  <c r="H17" i="12" a="1"/>
  <c r="C19" i="12" a="1"/>
  <c r="H15" i="12" a="1"/>
  <c r="H18" i="12" a="1"/>
  <c r="H22" i="12" a="1"/>
  <c r="C20" i="12" a="1"/>
  <c r="H23" i="12" a="1"/>
  <c r="H21" i="12" a="1"/>
  <c r="H16" i="12" a="1"/>
  <c r="H20" i="12" a="1"/>
  <c r="H19" i="12" a="1"/>
  <c r="C17" i="12" a="1"/>
  <c r="C15" i="12" a="1"/>
  <c r="C16" i="12" a="1"/>
  <c r="H17" i="11" a="1"/>
  <c r="H16" i="11" a="1"/>
  <c r="H23" i="11" a="1"/>
  <c r="H20" i="11" a="1"/>
  <c r="H22" i="11" a="1"/>
  <c r="C20" i="11" a="1"/>
  <c r="H18" i="11" a="1"/>
  <c r="H15" i="11" a="1"/>
  <c r="C19" i="11" a="1"/>
  <c r="H19" i="11" a="1"/>
  <c r="H21" i="11" a="1"/>
  <c r="C16" i="11" a="1"/>
  <c r="C17" i="11" a="1"/>
  <c r="C18" i="11" a="1"/>
  <c r="C15" i="11" a="1"/>
  <c r="H18" i="10" a="1"/>
  <c r="H16" i="10" a="1"/>
  <c r="C20" i="10" a="1"/>
  <c r="H17" i="10" a="1"/>
  <c r="H15" i="10" a="1"/>
  <c r="C18" i="10" a="1"/>
  <c r="C15" i="10" a="1"/>
  <c r="H22" i="10" a="1"/>
  <c r="C17" i="10" a="1"/>
  <c r="C16" i="10" a="1"/>
  <c r="H20" i="10" a="1"/>
  <c r="H21" i="10" a="1"/>
  <c r="H19" i="10" a="1"/>
  <c r="H23" i="10" a="1"/>
  <c r="C19" i="10" a="1"/>
  <c r="H16" i="9" a="1"/>
  <c r="H21" i="9" a="1"/>
  <c r="H23" i="9" a="1"/>
  <c r="H18" i="9" a="1"/>
  <c r="H15" i="9" a="1"/>
  <c r="C18" i="9" a="1"/>
  <c r="C16" i="9" a="1"/>
  <c r="H17" i="9" a="1"/>
  <c r="C17" i="9" a="1"/>
  <c r="H20" i="9" a="1"/>
  <c r="C19" i="9" a="1"/>
  <c r="C15" i="9" a="1"/>
  <c r="C20" i="9" a="1"/>
  <c r="H19" i="9" a="1"/>
  <c r="H22" i="9" a="1"/>
  <c r="H16" i="8" a="1"/>
  <c r="C15" i="8" a="1"/>
  <c r="C16" i="8" a="1"/>
  <c r="H22" i="8" a="1"/>
  <c r="C17" i="8" a="1"/>
  <c r="H21" i="8" a="1"/>
  <c r="H17" i="8" a="1"/>
  <c r="C20" i="8" a="1"/>
  <c r="H15" i="8" a="1"/>
  <c r="H20" i="8" a="1"/>
  <c r="H19" i="8" a="1"/>
  <c r="C19" i="8" a="1"/>
  <c r="H18" i="8" a="1"/>
  <c r="C18" i="8" a="1"/>
  <c r="H23" i="8" a="1"/>
  <c r="H23" i="7" a="1"/>
  <c r="H16" i="7" a="1"/>
  <c r="H18" i="7" a="1"/>
  <c r="H17" i="7" a="1"/>
  <c r="C17" i="7" a="1"/>
  <c r="C15" i="7" a="1"/>
  <c r="H22" i="7" a="1"/>
  <c r="C20" i="7" a="1"/>
  <c r="H21" i="7" a="1"/>
  <c r="C18" i="7" a="1"/>
  <c r="H19" i="7" a="1"/>
  <c r="H20" i="7" a="1"/>
  <c r="C19" i="7" a="1"/>
  <c r="H15" i="7" a="1"/>
  <c r="C16" i="7" a="1"/>
  <c r="C19" i="6" a="1"/>
  <c r="C20" i="6" a="1"/>
  <c r="H18" i="6" a="1"/>
  <c r="C18" i="6" a="1"/>
  <c r="H22" i="6" a="1"/>
  <c r="H23" i="6" a="1"/>
  <c r="H19" i="6" a="1"/>
  <c r="C17" i="6" a="1"/>
  <c r="H17" i="6" a="1"/>
  <c r="C15" i="6" a="1"/>
  <c r="C16" i="6" a="1"/>
  <c r="H21" i="6" a="1"/>
  <c r="H15" i="6" a="1"/>
  <c r="H20" i="6" a="1"/>
  <c r="H16" i="6" a="1"/>
  <c r="H23" i="5" a="1"/>
  <c r="H22" i="5" a="1"/>
  <c r="C15" i="5" a="1"/>
  <c r="H21" i="5" a="1"/>
  <c r="H16" i="5" a="1"/>
  <c r="C20" i="5" a="1"/>
  <c r="C18" i="5" a="1"/>
  <c r="C16" i="5" a="1"/>
  <c r="C19" i="5" a="1"/>
  <c r="H20" i="5" a="1"/>
  <c r="H19" i="5" a="1"/>
  <c r="H15" i="5" a="1"/>
  <c r="H17" i="5" a="1"/>
  <c r="H18" i="5" a="1"/>
  <c r="C17" i="5" a="1"/>
  <c r="H16" i="4" a="1"/>
  <c r="C15" i="4" a="1"/>
  <c r="H23" i="4" a="1"/>
  <c r="H22" i="4" a="1"/>
  <c r="H15" i="4" a="1"/>
  <c r="H19" i="4" a="1"/>
  <c r="C20" i="4" a="1"/>
  <c r="C19" i="4" a="1"/>
  <c r="H18" i="4" a="1"/>
  <c r="H21" i="4" a="1"/>
  <c r="C18" i="4" a="1"/>
  <c r="C16" i="4" a="1"/>
  <c r="H17" i="4" a="1"/>
  <c r="C17" i="4" a="1"/>
  <c r="H20" i="4" a="1"/>
  <c r="H21" i="3" a="1"/>
  <c r="H23" i="3" a="1"/>
  <c r="H17" i="3" a="1"/>
  <c r="H16" i="3" a="1"/>
  <c r="C19" i="3" a="1"/>
  <c r="C15" i="3" a="1"/>
  <c r="H15" i="3" a="1"/>
  <c r="H22" i="3" a="1"/>
  <c r="C20" i="3" a="1"/>
  <c r="C17" i="3" a="1"/>
  <c r="H18" i="3" a="1"/>
  <c r="H20" i="3" a="1"/>
  <c r="H19" i="3" a="1"/>
  <c r="C16" i="3" a="1"/>
  <c r="C18" i="3" a="1"/>
  <c r="H18" i="2" a="1"/>
  <c r="H22" i="2" a="1"/>
  <c r="C20" i="2" a="1"/>
  <c r="C17" i="2" a="1"/>
  <c r="C19" i="2" a="1"/>
  <c r="H16" i="2" a="1"/>
  <c r="H23" i="2" a="1"/>
  <c r="H20" i="2" a="1"/>
  <c r="H17" i="2" a="1"/>
  <c r="C15" i="2" a="1"/>
  <c r="C18" i="2" a="1"/>
  <c r="H21" i="2" a="1"/>
  <c r="H19" i="2" a="1"/>
  <c r="C16" i="2" a="1"/>
  <c r="H15" i="2" a="1"/>
  <c r="C16" i="12" l="1"/>
  <c r="D16" i="12" s="1"/>
  <c r="C15" i="12"/>
  <c r="C17" i="12"/>
  <c r="D17" i="12" s="1"/>
  <c r="H19" i="12"/>
  <c r="I19" i="12" s="1"/>
  <c r="H20" i="12"/>
  <c r="I20" i="12" s="1"/>
  <c r="H16" i="12"/>
  <c r="I16" i="12" s="1"/>
  <c r="H21" i="12"/>
  <c r="I21" i="12" s="1"/>
  <c r="H23" i="12"/>
  <c r="I23" i="12" s="1"/>
  <c r="C20" i="12"/>
  <c r="D20" i="12" s="1"/>
  <c r="H22" i="12"/>
  <c r="I22" i="12" s="1"/>
  <c r="H18" i="12"/>
  <c r="I18" i="12" s="1"/>
  <c r="H15" i="12"/>
  <c r="C19" i="12"/>
  <c r="D19" i="12" s="1"/>
  <c r="H17" i="12"/>
  <c r="I17" i="12" s="1"/>
  <c r="C18" i="12"/>
  <c r="D18" i="12" s="1"/>
  <c r="C15" i="11"/>
  <c r="C18" i="11"/>
  <c r="D18" i="11" s="1"/>
  <c r="C17" i="11"/>
  <c r="D17" i="11" s="1"/>
  <c r="C16" i="11"/>
  <c r="D16" i="11" s="1"/>
  <c r="H21" i="11"/>
  <c r="I21" i="11" s="1"/>
  <c r="H19" i="11"/>
  <c r="I19" i="11" s="1"/>
  <c r="C19" i="11"/>
  <c r="D19" i="11" s="1"/>
  <c r="H15" i="11"/>
  <c r="H18" i="11"/>
  <c r="I18" i="11" s="1"/>
  <c r="C20" i="11"/>
  <c r="D20" i="11" s="1"/>
  <c r="H22" i="11"/>
  <c r="I22" i="11" s="1"/>
  <c r="H20" i="11"/>
  <c r="I20" i="11" s="1"/>
  <c r="H23" i="11"/>
  <c r="I23" i="11" s="1"/>
  <c r="H16" i="11"/>
  <c r="I16" i="11" s="1"/>
  <c r="H17" i="11"/>
  <c r="I17" i="11" s="1"/>
  <c r="C19" i="10"/>
  <c r="D19" i="10" s="1"/>
  <c r="H23" i="10"/>
  <c r="I23" i="10" s="1"/>
  <c r="H19" i="10"/>
  <c r="I19" i="10" s="1"/>
  <c r="H21" i="10"/>
  <c r="I21" i="10" s="1"/>
  <c r="H20" i="10"/>
  <c r="I20" i="10" s="1"/>
  <c r="C16" i="10"/>
  <c r="D16" i="10" s="1"/>
  <c r="C17" i="10"/>
  <c r="D17" i="10" s="1"/>
  <c r="H22" i="10"/>
  <c r="I22" i="10" s="1"/>
  <c r="C15" i="10"/>
  <c r="C18" i="10"/>
  <c r="D18" i="10" s="1"/>
  <c r="H15" i="10"/>
  <c r="H17" i="10"/>
  <c r="I17" i="10" s="1"/>
  <c r="C20" i="10"/>
  <c r="D20" i="10" s="1"/>
  <c r="H16" i="10"/>
  <c r="I16" i="10" s="1"/>
  <c r="H18" i="10"/>
  <c r="I18" i="10" s="1"/>
  <c r="H22" i="9"/>
  <c r="I22" i="9" s="1"/>
  <c r="H19" i="9"/>
  <c r="I19" i="9" s="1"/>
  <c r="C20" i="9"/>
  <c r="D20" i="9" s="1"/>
  <c r="C15" i="9"/>
  <c r="C19" i="9"/>
  <c r="D19" i="9" s="1"/>
  <c r="H20" i="9"/>
  <c r="I20" i="9" s="1"/>
  <c r="C17" i="9"/>
  <c r="D17" i="9" s="1"/>
  <c r="H17" i="9"/>
  <c r="I17" i="9" s="1"/>
  <c r="C16" i="9"/>
  <c r="D16" i="9" s="1"/>
  <c r="C18" i="9"/>
  <c r="D18" i="9" s="1"/>
  <c r="H15" i="9"/>
  <c r="H18" i="9"/>
  <c r="I18" i="9" s="1"/>
  <c r="H23" i="9"/>
  <c r="I23" i="9" s="1"/>
  <c r="H21" i="9"/>
  <c r="I21" i="9" s="1"/>
  <c r="H16" i="9"/>
  <c r="I16" i="9" s="1"/>
  <c r="H23" i="8"/>
  <c r="I23" i="8" s="1"/>
  <c r="C18" i="8"/>
  <c r="D18" i="8" s="1"/>
  <c r="H18" i="8"/>
  <c r="I18" i="8" s="1"/>
  <c r="C19" i="8"/>
  <c r="D19" i="8" s="1"/>
  <c r="H19" i="8"/>
  <c r="I19" i="8" s="1"/>
  <c r="H20" i="8"/>
  <c r="I20" i="8" s="1"/>
  <c r="H15" i="8"/>
  <c r="C20" i="8"/>
  <c r="D20" i="8" s="1"/>
  <c r="H17" i="8"/>
  <c r="I17" i="8" s="1"/>
  <c r="H21" i="8"/>
  <c r="I21" i="8" s="1"/>
  <c r="C17" i="8"/>
  <c r="D17" i="8" s="1"/>
  <c r="H22" i="8"/>
  <c r="I22" i="8" s="1"/>
  <c r="C16" i="8"/>
  <c r="D16" i="8" s="1"/>
  <c r="C15" i="8"/>
  <c r="H16" i="8"/>
  <c r="I16" i="8" s="1"/>
  <c r="C16" i="7"/>
  <c r="D16" i="7" s="1"/>
  <c r="H15" i="7"/>
  <c r="C19" i="7"/>
  <c r="D19" i="7" s="1"/>
  <c r="H20" i="7"/>
  <c r="I20" i="7" s="1"/>
  <c r="H19" i="7"/>
  <c r="I19" i="7" s="1"/>
  <c r="C18" i="7"/>
  <c r="D18" i="7" s="1"/>
  <c r="H21" i="7"/>
  <c r="I21" i="7" s="1"/>
  <c r="C20" i="7"/>
  <c r="D20" i="7" s="1"/>
  <c r="H22" i="7"/>
  <c r="I22" i="7" s="1"/>
  <c r="C15" i="7"/>
  <c r="C17" i="7"/>
  <c r="D17" i="7" s="1"/>
  <c r="H17" i="7"/>
  <c r="I17" i="7" s="1"/>
  <c r="H18" i="7"/>
  <c r="I18" i="7" s="1"/>
  <c r="H16" i="7"/>
  <c r="I16" i="7" s="1"/>
  <c r="H23" i="7"/>
  <c r="I23" i="7" s="1"/>
  <c r="H16" i="6"/>
  <c r="I16" i="6" s="1"/>
  <c r="H20" i="6"/>
  <c r="I20" i="6" s="1"/>
  <c r="H15" i="6"/>
  <c r="H21" i="6"/>
  <c r="I21" i="6" s="1"/>
  <c r="C16" i="6"/>
  <c r="D16" i="6" s="1"/>
  <c r="C15" i="6"/>
  <c r="H17" i="6"/>
  <c r="I17" i="6" s="1"/>
  <c r="C17" i="6"/>
  <c r="D17" i="6" s="1"/>
  <c r="H19" i="6"/>
  <c r="I19" i="6" s="1"/>
  <c r="H23" i="6"/>
  <c r="I23" i="6" s="1"/>
  <c r="H22" i="6"/>
  <c r="I22" i="6" s="1"/>
  <c r="C18" i="6"/>
  <c r="D18" i="6" s="1"/>
  <c r="H18" i="6"/>
  <c r="I18" i="6" s="1"/>
  <c r="C20" i="6"/>
  <c r="D20" i="6" s="1"/>
  <c r="C19" i="6"/>
  <c r="D19" i="6" s="1"/>
  <c r="C17" i="5"/>
  <c r="D17" i="5" s="1"/>
  <c r="H18" i="5"/>
  <c r="I18" i="5" s="1"/>
  <c r="H17" i="5"/>
  <c r="I17" i="5" s="1"/>
  <c r="H15" i="5"/>
  <c r="H19" i="5"/>
  <c r="I19" i="5" s="1"/>
  <c r="H20" i="5"/>
  <c r="I20" i="5" s="1"/>
  <c r="C19" i="5"/>
  <c r="D19" i="5" s="1"/>
  <c r="C16" i="5"/>
  <c r="D16" i="5" s="1"/>
  <c r="C18" i="5"/>
  <c r="D18" i="5" s="1"/>
  <c r="C20" i="5"/>
  <c r="D20" i="5" s="1"/>
  <c r="H16" i="5"/>
  <c r="I16" i="5" s="1"/>
  <c r="H21" i="5"/>
  <c r="I21" i="5" s="1"/>
  <c r="C15" i="5"/>
  <c r="H22" i="5"/>
  <c r="I22" i="5" s="1"/>
  <c r="H23" i="5"/>
  <c r="I23" i="5" s="1"/>
  <c r="H20" i="4"/>
  <c r="I20" i="4" s="1"/>
  <c r="C17" i="4"/>
  <c r="D17" i="4" s="1"/>
  <c r="H17" i="4"/>
  <c r="I17" i="4" s="1"/>
  <c r="C16" i="4"/>
  <c r="D16" i="4" s="1"/>
  <c r="C18" i="4"/>
  <c r="D18" i="4" s="1"/>
  <c r="H21" i="4"/>
  <c r="I21" i="4" s="1"/>
  <c r="H18" i="4"/>
  <c r="I18" i="4" s="1"/>
  <c r="C19" i="4"/>
  <c r="D19" i="4" s="1"/>
  <c r="C20" i="4"/>
  <c r="D20" i="4" s="1"/>
  <c r="H19" i="4"/>
  <c r="I19" i="4" s="1"/>
  <c r="H15" i="4"/>
  <c r="H22" i="4"/>
  <c r="I22" i="4" s="1"/>
  <c r="H23" i="4"/>
  <c r="I23" i="4" s="1"/>
  <c r="C15" i="4"/>
  <c r="H16" i="4"/>
  <c r="I16" i="4" s="1"/>
  <c r="C18" i="3"/>
  <c r="D18" i="3" s="1"/>
  <c r="C16" i="3"/>
  <c r="D16" i="3" s="1"/>
  <c r="H19" i="3"/>
  <c r="I19" i="3" s="1"/>
  <c r="H20" i="3"/>
  <c r="I20" i="3" s="1"/>
  <c r="H18" i="3"/>
  <c r="I18" i="3" s="1"/>
  <c r="C17" i="3"/>
  <c r="D17" i="3" s="1"/>
  <c r="C20" i="3"/>
  <c r="D20" i="3" s="1"/>
  <c r="H22" i="3"/>
  <c r="I22" i="3" s="1"/>
  <c r="H15" i="3"/>
  <c r="C15" i="3"/>
  <c r="C19" i="3"/>
  <c r="D19" i="3" s="1"/>
  <c r="H16" i="3"/>
  <c r="I16" i="3" s="1"/>
  <c r="H17" i="3"/>
  <c r="I17" i="3" s="1"/>
  <c r="H23" i="3"/>
  <c r="I23" i="3" s="1"/>
  <c r="H21" i="3"/>
  <c r="I21" i="3" s="1"/>
  <c r="H15" i="2"/>
  <c r="C16" i="2"/>
  <c r="D16" i="2" s="1"/>
  <c r="H19" i="2"/>
  <c r="I19" i="2" s="1"/>
  <c r="H21" i="2"/>
  <c r="I21" i="2" s="1"/>
  <c r="C18" i="2"/>
  <c r="D18" i="2" s="1"/>
  <c r="C15" i="2"/>
  <c r="H17" i="2"/>
  <c r="I17" i="2" s="1"/>
  <c r="H20" i="2"/>
  <c r="I20" i="2" s="1"/>
  <c r="H23" i="2"/>
  <c r="I23" i="2" s="1"/>
  <c r="H16" i="2"/>
  <c r="I16" i="2" s="1"/>
  <c r="C19" i="2"/>
  <c r="D19" i="2" s="1"/>
  <c r="C17" i="2"/>
  <c r="D17" i="2" s="1"/>
  <c r="C20" i="2"/>
  <c r="D20" i="2" s="1"/>
  <c r="H22" i="2"/>
  <c r="I22" i="2" s="1"/>
  <c r="H18" i="2"/>
  <c r="I18" i="2" s="1"/>
  <c r="I15" i="12" l="1"/>
  <c r="I25" i="12" s="1"/>
  <c r="H25" i="12"/>
  <c r="C25" i="12"/>
  <c r="D15" i="12"/>
  <c r="D25" i="12" s="1"/>
  <c r="H25" i="11"/>
  <c r="I15" i="11"/>
  <c r="I25" i="11" s="1"/>
  <c r="C25" i="11"/>
  <c r="D15" i="11"/>
  <c r="D25" i="11" s="1"/>
  <c r="H25" i="10"/>
  <c r="I15" i="10"/>
  <c r="I25" i="10" s="1"/>
  <c r="D15" i="10"/>
  <c r="D25" i="10" s="1"/>
  <c r="C25" i="10"/>
  <c r="H25" i="9"/>
  <c r="I15" i="9"/>
  <c r="I25" i="9" s="1"/>
  <c r="C25" i="9"/>
  <c r="D15" i="9"/>
  <c r="D25" i="9" s="1"/>
  <c r="C25" i="8"/>
  <c r="D15" i="8"/>
  <c r="D25" i="8" s="1"/>
  <c r="H25" i="8"/>
  <c r="I15" i="8"/>
  <c r="I25" i="8" s="1"/>
  <c r="C25" i="7"/>
  <c r="D15" i="7"/>
  <c r="D25" i="7" s="1"/>
  <c r="H25" i="7"/>
  <c r="I15" i="7"/>
  <c r="I25" i="7" s="1"/>
  <c r="C25" i="6"/>
  <c r="D15" i="6"/>
  <c r="D25" i="6" s="1"/>
  <c r="H25" i="6"/>
  <c r="I15" i="6"/>
  <c r="I25" i="6" s="1"/>
  <c r="C25" i="5"/>
  <c r="D15" i="5"/>
  <c r="D25" i="5" s="1"/>
  <c r="I15" i="5"/>
  <c r="I25" i="5" s="1"/>
  <c r="H25" i="5"/>
  <c r="C25" i="4"/>
  <c r="D15" i="4"/>
  <c r="D25" i="4" s="1"/>
  <c r="H25" i="4"/>
  <c r="I15" i="4"/>
  <c r="I25" i="4" s="1"/>
  <c r="D15" i="3"/>
  <c r="D25" i="3" s="1"/>
  <c r="C25" i="3"/>
  <c r="H25" i="3"/>
  <c r="I15" i="3"/>
  <c r="I25" i="3" s="1"/>
  <c r="D15" i="2"/>
  <c r="D25" i="2" s="1"/>
  <c r="C25" i="2"/>
  <c r="H25" i="2"/>
  <c r="I15" i="2"/>
  <c r="I25" i="2" s="1"/>
  <c r="C6" i="12" a="1"/>
  <c r="C5" i="12" a="1"/>
  <c r="C6" i="11" a="1"/>
  <c r="C5" i="11" a="1"/>
  <c r="C6" i="10" a="1"/>
  <c r="C5" i="10" a="1"/>
  <c r="C6" i="9" a="1"/>
  <c r="C5" i="9" a="1"/>
  <c r="C5" i="8" a="1"/>
  <c r="C6" i="8" a="1"/>
  <c r="C5" i="7" a="1"/>
  <c r="C6" i="7" a="1"/>
  <c r="C5" i="6" a="1"/>
  <c r="C6" i="6" a="1"/>
  <c r="C5" i="5" a="1"/>
  <c r="C6" i="5" a="1"/>
  <c r="C5" i="4" a="1"/>
  <c r="C6" i="4" a="1"/>
  <c r="C5" i="3" a="1"/>
  <c r="C6" i="3" a="1"/>
  <c r="C5" i="2" a="1"/>
  <c r="C6" i="2" a="1"/>
  <c r="C5" i="12" l="1"/>
  <c r="C6" i="12"/>
  <c r="D6" i="12" s="1"/>
  <c r="C5" i="11"/>
  <c r="C6" i="11"/>
  <c r="D6" i="11" s="1"/>
  <c r="C5" i="10"/>
  <c r="C6" i="10"/>
  <c r="D6" i="10" s="1"/>
  <c r="C5" i="9"/>
  <c r="C6" i="9"/>
  <c r="D6" i="9" s="1"/>
  <c r="C6" i="8"/>
  <c r="D6" i="8" s="1"/>
  <c r="C5" i="8"/>
  <c r="C6" i="7"/>
  <c r="D6" i="7" s="1"/>
  <c r="C5" i="7"/>
  <c r="C6" i="6"/>
  <c r="D6" i="6" s="1"/>
  <c r="C5" i="6"/>
  <c r="C6" i="5"/>
  <c r="D6" i="5" s="1"/>
  <c r="C5" i="5"/>
  <c r="C6" i="4"/>
  <c r="D6" i="4" s="1"/>
  <c r="C5" i="4"/>
  <c r="C6" i="3"/>
  <c r="D6" i="3" s="1"/>
  <c r="C5" i="3"/>
  <c r="C6" i="2"/>
  <c r="D6" i="2" s="1"/>
  <c r="C5" i="2"/>
  <c r="C9" i="12" l="1"/>
  <c r="D5" i="12"/>
  <c r="D9" i="12" s="1"/>
  <c r="C9" i="11"/>
  <c r="D5" i="11"/>
  <c r="D9" i="11" s="1"/>
  <c r="C9" i="10"/>
  <c r="D5" i="10"/>
  <c r="D9" i="10" s="1"/>
  <c r="C9" i="9"/>
  <c r="D5" i="9"/>
  <c r="D9" i="9" s="1"/>
  <c r="C9" i="8"/>
  <c r="D5" i="8"/>
  <c r="D9" i="8" s="1"/>
  <c r="C9" i="7"/>
  <c r="D5" i="7"/>
  <c r="D9" i="7" s="1"/>
  <c r="C9" i="6"/>
  <c r="D5" i="6"/>
  <c r="D9" i="6" s="1"/>
  <c r="C9" i="5"/>
  <c r="D5" i="5"/>
  <c r="D9" i="5" s="1"/>
  <c r="C9" i="4"/>
  <c r="D5" i="4"/>
  <c r="D9" i="4" s="1"/>
  <c r="C9" i="3"/>
  <c r="D5" i="3"/>
  <c r="D9" i="3" s="1"/>
  <c r="D5" i="2"/>
  <c r="D9" i="2" s="1"/>
  <c r="C9" i="2"/>
  <c r="G25" i="1" l="1"/>
  <c r="B25" i="1"/>
  <c r="X15" i="1"/>
  <c r="X16" i="1"/>
  <c r="X17" i="1"/>
  <c r="X18" i="1"/>
  <c r="X19" i="1"/>
  <c r="X20" i="1"/>
  <c r="X21" i="1"/>
  <c r="X22" i="1"/>
  <c r="X23" i="1"/>
  <c r="X24" i="1"/>
  <c r="V25" i="1"/>
  <c r="W25" i="1"/>
  <c r="S25" i="1"/>
  <c r="R25" i="1"/>
  <c r="M25" i="1"/>
  <c r="N25" i="1"/>
  <c r="X25" i="1" l="1"/>
  <c r="A2" i="1" l="1" a="1"/>
  <c r="A2" i="1" s="1"/>
  <c r="H15" i="1" a="1"/>
  <c r="C15" i="1" a="1"/>
  <c r="B6" i="1" a="1"/>
  <c r="H15" i="1" l="1"/>
  <c r="C15" i="1"/>
  <c r="B6" i="1"/>
  <c r="Q17" i="1"/>
  <c r="L17" i="1"/>
  <c r="L18" i="1"/>
  <c r="Q15" i="1"/>
  <c r="Q18" i="1"/>
  <c r="Q16" i="1"/>
  <c r="L21" i="1"/>
  <c r="L16" i="1"/>
  <c r="L20" i="1"/>
  <c r="L15" i="1"/>
  <c r="L19" i="1"/>
  <c r="H16" i="1" a="1"/>
  <c r="H17" i="1" a="1"/>
  <c r="H18" i="1" a="1"/>
  <c r="H19" i="1" a="1"/>
  <c r="H20" i="1" a="1"/>
  <c r="H21" i="1" a="1"/>
  <c r="H22" i="1" a="1"/>
  <c r="H23" i="1" a="1"/>
  <c r="C16" i="1" a="1"/>
  <c r="C17" i="1" a="1"/>
  <c r="C18" i="1" a="1"/>
  <c r="C19" i="1" a="1"/>
  <c r="C20" i="1" a="1"/>
  <c r="B5" i="1" a="1"/>
  <c r="C7" i="1" a="1"/>
  <c r="B7" i="1" a="1"/>
  <c r="H23" i="1" l="1"/>
  <c r="H22" i="1"/>
  <c r="H21" i="1"/>
  <c r="I21" i="1" s="1"/>
  <c r="H20" i="1"/>
  <c r="I20" i="1" s="1"/>
  <c r="H19" i="1"/>
  <c r="I19" i="1" s="1"/>
  <c r="H18" i="1"/>
  <c r="I18" i="1" s="1"/>
  <c r="H17" i="1"/>
  <c r="I17" i="1" s="1"/>
  <c r="H16" i="1"/>
  <c r="H25" i="1" s="1"/>
  <c r="C20" i="1"/>
  <c r="D20" i="1" s="1"/>
  <c r="C19" i="1"/>
  <c r="D19" i="1" s="1"/>
  <c r="C18" i="1"/>
  <c r="D18" i="1" s="1"/>
  <c r="C17" i="1"/>
  <c r="D17" i="1" s="1"/>
  <c r="C16" i="1"/>
  <c r="B5" i="1"/>
  <c r="B9" i="1" s="1"/>
  <c r="C7" i="1"/>
  <c r="B7" i="1"/>
  <c r="I23" i="1"/>
  <c r="I22" i="1"/>
  <c r="C6" i="1" a="1"/>
  <c r="I16" i="1" l="1"/>
  <c r="C6" i="1"/>
  <c r="D7" i="1"/>
  <c r="D6" i="1"/>
  <c r="I15" i="1"/>
  <c r="D16" i="1"/>
  <c r="C25" i="1"/>
  <c r="I25" i="1" l="1"/>
  <c r="D15" i="1"/>
  <c r="D25" i="1" s="1"/>
  <c r="C5" i="1" a="1"/>
  <c r="C5" i="1" l="1"/>
  <c r="C9" i="1" s="1"/>
  <c r="D5" i="1" l="1"/>
  <c r="D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<sst xmlns="http://schemas.openxmlformats.org/spreadsheetml/2006/main" count="828" uniqueCount="48">
  <si>
    <t>Income</t>
  </si>
  <si>
    <t>Rent</t>
  </si>
  <si>
    <t>Internet</t>
  </si>
  <si>
    <t>Groceries</t>
  </si>
  <si>
    <t>Transportation</t>
  </si>
  <si>
    <t>Expences</t>
  </si>
  <si>
    <t>Bills</t>
  </si>
  <si>
    <t>Subscriptions</t>
  </si>
  <si>
    <t>Category</t>
  </si>
  <si>
    <t>Planned</t>
  </si>
  <si>
    <t>Due</t>
  </si>
  <si>
    <t>Actual</t>
  </si>
  <si>
    <t>Accomodation</t>
  </si>
  <si>
    <t>Entertainment</t>
  </si>
  <si>
    <t>Water</t>
  </si>
  <si>
    <t>Mobile phone</t>
  </si>
  <si>
    <t>Gas</t>
  </si>
  <si>
    <t>Electricity</t>
  </si>
  <si>
    <t>Waste</t>
  </si>
  <si>
    <t>Netflix</t>
  </si>
  <si>
    <t>Spotify</t>
  </si>
  <si>
    <t>Audible</t>
  </si>
  <si>
    <t>iCloud</t>
  </si>
  <si>
    <t>Clothing</t>
  </si>
  <si>
    <t>Source</t>
  </si>
  <si>
    <t>Scholarship</t>
  </si>
  <si>
    <t>Salary</t>
  </si>
  <si>
    <t>Allowance</t>
  </si>
  <si>
    <t>Health&amp;Beauty</t>
  </si>
  <si>
    <t>Electronics</t>
  </si>
  <si>
    <t>Appliances&amp;Furniture</t>
  </si>
  <si>
    <t>Savings</t>
  </si>
  <si>
    <t>Aim</t>
  </si>
  <si>
    <t>Investments</t>
  </si>
  <si>
    <t>Retirement</t>
  </si>
  <si>
    <t>Travel</t>
  </si>
  <si>
    <t>Month</t>
  </si>
  <si>
    <t>Balance</t>
  </si>
  <si>
    <t>Left</t>
  </si>
  <si>
    <t>Financial</t>
  </si>
  <si>
    <t>Gift</t>
  </si>
  <si>
    <t>Other incoms</t>
  </si>
  <si>
    <t>Multimedia</t>
  </si>
  <si>
    <t>Other expences</t>
  </si>
  <si>
    <t>Studies</t>
  </si>
  <si>
    <t>Total</t>
  </si>
  <si>
    <t>Bill</t>
  </si>
  <si>
    <t>Subscription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</si>
</sst>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zł&quot;_-;\-* #,##0.00\ &quot;zł&quot;_-;_-* &quot;-&quot;??\ &quot;zł&quot;_-;_-@_-"/>
    <numFmt numFmtId="165" formatCode="dd\-mmmm"/>
    <numFmt numFmtId="166" formatCode="d\ mmmm"/>
    <numFmt numFmtId="167" formatCode="_-* #,##0.00\ [$zł-415]_-;\-* #,##0.00\ [$zł-415]_-;_-* &quot;-&quot;??\ [$zł-415]_-;_-@_-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1"/>
      <color theme="0"/>
      <name val="Calibri"/>
      <family val="2"/>
      <charset val="20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B7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C9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166" fontId="0" fillId="14" borderId="1" xfId="0" applyNumberFormat="1" applyFill="1" applyBorder="1" applyAlignment="1">
      <alignment horizontal="center" vertical="center"/>
    </xf>
    <xf numFmtId="166" fontId="0" fillId="14" borderId="2" xfId="0" applyNumberFormat="1" applyFill="1" applyBorder="1" applyAlignment="1">
      <alignment horizontal="center" vertical="center"/>
    </xf>
    <xf numFmtId="167" fontId="0" fillId="18" borderId="1" xfId="0" applyNumberForma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16" borderId="1" xfId="1" applyNumberFormat="1" applyFont="1" applyFill="1" applyBorder="1" applyAlignment="1">
      <alignment horizontal="center" vertical="center"/>
    </xf>
    <xf numFmtId="167" fontId="0" fillId="16" borderId="1" xfId="0" applyNumberFormat="1" applyFill="1" applyBorder="1" applyAlignment="1">
      <alignment horizontal="center" vertical="center"/>
    </xf>
    <xf numFmtId="167" fontId="0" fillId="2" borderId="1" xfId="0" applyNumberFormat="1" applyFill="1" applyBorder="1" applyAlignment="1">
      <alignment horizontal="center" vertical="center"/>
    </xf>
    <xf numFmtId="167" fontId="0" fillId="3" borderId="1" xfId="1" applyNumberFormat="1" applyFont="1" applyFill="1" applyBorder="1" applyAlignment="1">
      <alignment horizontal="center" vertical="center"/>
    </xf>
    <xf numFmtId="167" fontId="0" fillId="3" borderId="2" xfId="1" applyNumberFormat="1" applyFont="1" applyFill="1" applyBorder="1" applyAlignment="1">
      <alignment horizontal="center" vertical="center"/>
    </xf>
    <xf numFmtId="167" fontId="0" fillId="14" borderId="1" xfId="0" applyNumberFormat="1" applyFill="1" applyBorder="1" applyAlignment="1">
      <alignment horizontal="center" vertical="center"/>
    </xf>
    <xf numFmtId="167" fontId="0" fillId="14" borderId="2" xfId="0" applyNumberFormat="1" applyFill="1" applyBorder="1" applyAlignment="1">
      <alignment horizontal="center" vertical="center"/>
    </xf>
    <xf numFmtId="167" fontId="0" fillId="7" borderId="1" xfId="0" applyNumberFormat="1" applyFill="1" applyBorder="1" applyAlignment="1">
      <alignment horizontal="center" vertical="center"/>
    </xf>
    <xf numFmtId="167" fontId="0" fillId="7" borderId="2" xfId="0" applyNumberForma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67" fontId="4" fillId="10" borderId="1" xfId="0" applyNumberFormat="1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7" fontId="0" fillId="2" borderId="4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167" fontId="0" fillId="16" borderId="4" xfId="0" applyNumberFormat="1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167" fontId="0" fillId="16" borderId="2" xfId="1" applyNumberFormat="1" applyFont="1" applyFill="1" applyBorder="1" applyAlignment="1">
      <alignment horizontal="center" vertical="center"/>
    </xf>
    <xf numFmtId="167" fontId="0" fillId="16" borderId="2" xfId="0" applyNumberFormat="1" applyFill="1" applyBorder="1" applyAlignment="1">
      <alignment horizontal="center" vertical="center"/>
    </xf>
    <xf numFmtId="167" fontId="0" fillId="16" borderId="8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7" fontId="0" fillId="3" borderId="4" xfId="1" applyNumberFormat="1" applyFont="1" applyFill="1" applyBorder="1" applyAlignment="1">
      <alignment horizontal="center" vertical="center"/>
    </xf>
    <xf numFmtId="167" fontId="0" fillId="3" borderId="8" xfId="1" applyNumberFormat="1" applyFont="1" applyFill="1" applyBorder="1" applyAlignment="1">
      <alignment horizontal="center" vertical="center"/>
    </xf>
    <xf numFmtId="0" fontId="4" fillId="12" borderId="12" xfId="0" applyFont="1" applyFill="1" applyBorder="1" applyAlignment="1">
      <alignment horizontal="center" vertical="center"/>
    </xf>
    <xf numFmtId="167" fontId="4" fillId="12" borderId="12" xfId="0" applyNumberFormat="1" applyFont="1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167" fontId="0" fillId="14" borderId="4" xfId="0" applyNumberFormat="1" applyFill="1" applyBorder="1" applyAlignment="1">
      <alignment horizontal="center" vertical="center"/>
    </xf>
    <xf numFmtId="167" fontId="0" fillId="14" borderId="8" xfId="0" applyNumberFormat="1" applyFill="1" applyBorder="1" applyAlignment="1">
      <alignment horizontal="center" vertical="center"/>
    </xf>
    <xf numFmtId="0" fontId="4" fillId="13" borderId="12" xfId="0" applyFont="1" applyFill="1" applyBorder="1" applyAlignment="1">
      <alignment horizontal="center" vertical="center"/>
    </xf>
    <xf numFmtId="0" fontId="4" fillId="13" borderId="13" xfId="0" applyFont="1" applyFill="1" applyBorder="1" applyAlignment="1">
      <alignment horizontal="center" vertical="center"/>
    </xf>
    <xf numFmtId="167" fontId="4" fillId="13" borderId="12" xfId="0" applyNumberFormat="1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67" fontId="0" fillId="7" borderId="4" xfId="0" applyNumberFormat="1" applyFill="1" applyBorder="1" applyAlignment="1">
      <alignment horizontal="center" vertical="center"/>
    </xf>
    <xf numFmtId="167" fontId="0" fillId="7" borderId="8" xfId="0" applyNumberForma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167" fontId="4" fillId="6" borderId="12" xfId="0" applyNumberFormat="1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167" fontId="0" fillId="2" borderId="2" xfId="0" applyNumberFormat="1" applyFill="1" applyBorder="1" applyAlignment="1">
      <alignment horizontal="center" vertical="center"/>
    </xf>
    <xf numFmtId="167" fontId="0" fillId="2" borderId="8" xfId="0" applyNumberFormat="1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67" fontId="5" fillId="12" borderId="12" xfId="0" applyNumberFormat="1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1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10" borderId="5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78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006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FF66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rgb="FFFFB7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rgb="FFFF99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166" formatCode="d\ mmmm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dd\-mmmm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67" formatCode="_-* #,##0.00\ [$zł-415]_-;\-* #,##0.00\ [$zł-415]_-;_-* &quot;-&quot;??\ [$zł-415]_-;_-@_-"/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99CC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rgb="FFFF669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_-* #,##0.00\ [$zł-415]_-;\-* #,##0.00\ [$zł-415]_-;_-* &quot;-&quot;??\ [$zł-415]_-;_-@_-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0066"/>
      <color rgb="FFFFCC99"/>
      <color rgb="FFFF9900"/>
      <color rgb="FFFF99CC"/>
      <color rgb="FFFF6699"/>
      <color rgb="FFFF99FF"/>
      <color rgb="FFFF66FF"/>
      <color rgb="FFFFB7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0-42F2-AA21-7DD576DB8080}"/>
            </c:ext>
          </c:extLst>
        </c:ser>
        <c:ser>
          <c:idx val="1"/>
          <c:order val="1"/>
          <c:tx>
            <c:strRef>
              <c:f>'1'!$C$4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'1'!$C$5:$C$7</c:f>
              <c:numCache>
                <c:formatCode>_-* #\ ##0.00\ [$zł-415]_-;\-* #\ ##0.00\ [$zł-415]_-;_-* "-"??\ [$zł-415]_-;_-@_-</c:formatCode>
                <c:ptCount val="3"/>
                <c:pt idx="0">
                  <c:v>5655.5</c:v>
                </c:pt>
                <c:pt idx="1">
                  <c:v>4810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30-42F2-AA21-7DD576DB8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21-4599-B1E2-2FE59AF2D6AD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21-4599-B1E2-2FE59AF2D6AD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F21-4599-B1E2-2FE59AF2D6AD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21-4599-B1E2-2FE59AF2D6AD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21-4599-B1E2-2FE59AF2D6AD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21-4599-B1E2-2FE59AF2D6AD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21-4599-B1E2-2FE59AF2D6AD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F21-4599-B1E2-2FE59AF2D6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'1'!$B$15:$B$18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1-4599-B1E2-2FE59AF2D6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'1'!$G$14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A0-43D9-9439-EC739F041A19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A0-43D9-9439-EC739F041A19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A0-43D9-9439-EC739F041A19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0A0-43D9-9439-EC739F041A19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0A0-43D9-9439-EC739F041A19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A0-43D9-9439-EC739F041A19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0A0-43D9-9439-EC739F041A19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0A0-43D9-9439-EC739F041A19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A0-43D9-9439-EC739F041A19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A0-43D9-9439-EC739F041A19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0A0-43D9-9439-EC739F041A19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A0-43D9-9439-EC739F041A19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0A0-43D9-9439-EC739F041A19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0A0-43D9-9439-EC739F041A19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0A0-43D9-9439-EC739F041A19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0A0-43D9-9439-EC739F041A19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0A0-43D9-9439-EC739F041A19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A0-43D9-9439-EC739F041A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'1'!$G$15:$G$23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A0-43D9-9439-EC739F04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'1'!$M$14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9D5-4B95-AB47-1C83055DBC8A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9D5-4B95-AB47-1C83055DBC8A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F9D5-4B95-AB47-1C83055DBC8A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9D5-4B95-AB47-1C83055DBC8A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9D5-4B95-AB47-1C83055DBC8A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9D5-4B95-AB47-1C83055DBC8A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9D5-4B95-AB47-1C83055DBC8A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9D5-4B95-AB47-1C83055DBC8A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9D5-4B95-AB47-1C83055DBC8A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9D5-4B95-AB47-1C83055DBC8A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9D5-4B95-AB47-1C83055DBC8A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9D5-4B95-AB47-1C83055DBC8A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9D5-4B95-AB47-1C83055DBC8A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D5-4B95-AB47-1C83055DBC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'1'!$M$15:$M$21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5-4B95-AB47-1C83055D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EB7-41AA-9930-4E61FD57B604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EB7-41AA-9930-4E61FD57B604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B7-41AA-9930-4E61FD57B604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B7-41AA-9930-4E61FD57B604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B7-41AA-9930-4E61FD57B604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B7-41AA-9930-4E61FD57B604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B7-41AA-9930-4E61FD57B604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B7-41AA-9930-4E61FD57B6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'1'!$R$15:$R$18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7-41AA-9930-4E61FD57B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3E-49D6-BBCD-A8C9119C4A5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B3E-49D6-BBCD-A8C9119C4A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3E-49D6-BBCD-A8C9119C4A54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3E-49D6-BBCD-A8C9119C4A54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B3E-49D6-BBCD-A8C9119C4A54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3E-49D6-BBCD-A8C9119C4A54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B3E-49D6-BBCD-A8C9119C4A54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3E-49D6-BBCD-A8C9119C4A54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B3E-49D6-BBCD-A8C9119C4A54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3E-49D6-BBCD-A8C9119C4A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'1'!$V$15:$V$19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E-49D6-BBCD-A8C9119C4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'2'!$B$5:$B$7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4-4544-A7CE-5FCDD559BBEE}"/>
            </c:ext>
          </c:extLst>
        </c:ser>
        <c:ser>
          <c:idx val="1"/>
          <c:order val="1"/>
          <c:tx>
            <c:strRef>
              <c:f>'2'!$C$4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'2'!$A$5:$A$7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'2'!$C$5:$C$7</c:f>
              <c:numCache>
                <c:formatCode>_-* #\ ##0.00\ [$zł-415]_-;\-* #\ ##0.00\ [$zł-415]_-;_-* "-"??\ [$zł-415]_-;_-@_-</c:formatCode>
                <c:ptCount val="3"/>
                <c:pt idx="0">
                  <c:v>6565</c:v>
                </c:pt>
                <c:pt idx="1">
                  <c:v>4100.5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4-4544-A7CE-5FCDD559B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'2'!$B$14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75-479C-B20F-46BEB3C5AEE8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75-479C-B20F-46BEB3C5AEE8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75-479C-B20F-46BEB3C5AEE8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075-479C-B20F-46BEB3C5AEE8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75-479C-B20F-46BEB3C5AEE8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75-479C-B20F-46BEB3C5AEE8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75-479C-B20F-46BEB3C5AEE8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75-479C-B20F-46BEB3C5AE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'2'!$B$15:$B$18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075-479C-B20F-46BEB3C5AEE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'2'!$G$14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01-46E7-9274-24DD50743F46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01-46E7-9274-24DD50743F46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01-46E7-9274-24DD50743F46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301-46E7-9274-24DD50743F46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01-46E7-9274-24DD50743F46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01-46E7-9274-24DD50743F46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301-46E7-9274-24DD50743F46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301-46E7-9274-24DD50743F46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301-46E7-9274-24DD50743F46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01-46E7-9274-24DD50743F46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01-46E7-9274-24DD50743F46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01-46E7-9274-24DD50743F46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01-46E7-9274-24DD50743F46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01-46E7-9274-24DD50743F46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301-46E7-9274-24DD50743F46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301-46E7-9274-24DD50743F46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F301-46E7-9274-24DD50743F46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301-46E7-9274-24DD50743F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'2'!$G$15:$G$23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301-46E7-9274-24DD50743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'2'!$M$14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B0-48C4-9D2F-B49FB1AA2957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0-48C4-9D2F-B49FB1AA2957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0-48C4-9D2F-B49FB1AA2957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0-48C4-9D2F-B49FB1AA2957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0-48C4-9D2F-B49FB1AA2957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B0-48C4-9D2F-B49FB1AA2957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B0-48C4-9D2F-B49FB1AA2957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B0-48C4-9D2F-B49FB1AA2957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B0-48C4-9D2F-B49FB1AA2957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4B0-48C4-9D2F-B49FB1AA2957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4B0-48C4-9D2F-B49FB1AA2957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4B0-48C4-9D2F-B49FB1AA2957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4B0-48C4-9D2F-B49FB1AA2957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4B0-48C4-9D2F-B49FB1AA29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'2'!$M$15:$M$21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4B0-48C4-9D2F-B49FB1AA2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'2'!$R$14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16-4D28-9D54-C99A1F32EA94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16-4D28-9D54-C99A1F32EA94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016-4D28-9D54-C99A1F32EA94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016-4D28-9D54-C99A1F32EA94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16-4D28-9D54-C99A1F32EA94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016-4D28-9D54-C99A1F32EA94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016-4D28-9D54-C99A1F32EA94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016-4D28-9D54-C99A1F32EA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'2'!$R$15:$R$18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16-4D28-9D54-C99A1F32E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'2'!$V$14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84-4D20-AFD2-1F88683B084B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84-4D20-AFD2-1F88683B08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84-4D20-AFD2-1F88683B084B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84-4D20-AFD2-1F88683B084B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684-4D20-AFD2-1F88683B084B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684-4D20-AFD2-1F88683B084B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84-4D20-AFD2-1F88683B084B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684-4D20-AFD2-1F88683B084B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684-4D20-AFD2-1F88683B084B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684-4D20-AFD2-1F88683B0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'2'!$V$15:$V$19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84-4D20-AFD2-1F88683B0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'3'!$B$5:$B$7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5-4435-A193-2654E1D4F298}"/>
            </c:ext>
          </c:extLst>
        </c:ser>
        <c:ser>
          <c:idx val="1"/>
          <c:order val="1"/>
          <c:tx>
            <c:strRef>
              <c:f>'3'!$C$4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'3'!$A$5:$A$7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'3'!$C$5:$C$7</c:f>
              <c:numCache>
                <c:formatCode>_-* #\ ##0.00\ [$zł-415]_-;\-* #\ ##0.00\ [$zł-415]_-;_-* "-"??\ [$zł-415]_-;_-@_-</c:formatCode>
                <c:ptCount val="3"/>
                <c:pt idx="0">
                  <c:v>4655</c:v>
                </c:pt>
                <c:pt idx="1">
                  <c:v>3899.3900000000003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5-4435-A193-2654E1D4F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'3'!$B$14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DE-430F-A573-7FF3A250CC37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DE-430F-A573-7FF3A250CC37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DE-430F-A573-7FF3A250CC37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DE-430F-A573-7FF3A250CC37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DE-430F-A573-7FF3A250CC37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DE-430F-A573-7FF3A250CC37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DE-430F-A573-7FF3A250CC37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DE-430F-A573-7FF3A250CC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'3'!$B$15:$B$18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DE-430F-A573-7FF3A250CC3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'3'!$G$14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10-4293-84B2-ED6E2A0FC953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10-4293-84B2-ED6E2A0FC953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10-4293-84B2-ED6E2A0FC953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10-4293-84B2-ED6E2A0FC95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10-4293-84B2-ED6E2A0FC953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10-4293-84B2-ED6E2A0FC953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10-4293-84B2-ED6E2A0FC953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B10-4293-84B2-ED6E2A0FC953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B10-4293-84B2-ED6E2A0FC953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B10-4293-84B2-ED6E2A0FC953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B10-4293-84B2-ED6E2A0FC953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10-4293-84B2-ED6E2A0FC953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B10-4293-84B2-ED6E2A0FC953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B10-4293-84B2-ED6E2A0FC953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B10-4293-84B2-ED6E2A0FC953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B10-4293-84B2-ED6E2A0FC953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B10-4293-84B2-ED6E2A0FC953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B10-4293-84B2-ED6E2A0FC9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'3'!$G$15:$G$23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B10-4293-84B2-ED6E2A0FC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'3'!$M$14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C3-439F-A85A-B08DC80DDA6C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C3-439F-A85A-B08DC80DDA6C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C3-439F-A85A-B08DC80DDA6C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0C3-439F-A85A-B08DC80DDA6C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0C3-439F-A85A-B08DC80DDA6C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0C3-439F-A85A-B08DC80DDA6C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0C3-439F-A85A-B08DC80DDA6C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C3-439F-A85A-B08DC80DDA6C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C3-439F-A85A-B08DC80DDA6C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0C3-439F-A85A-B08DC80DDA6C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0C3-439F-A85A-B08DC80DDA6C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0C3-439F-A85A-B08DC80DDA6C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0C3-439F-A85A-B08DC80DDA6C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0C3-439F-A85A-B08DC80DDA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'3'!$M$15:$M$21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0C3-439F-A85A-B08DC80DD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'3'!$R$14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92-4C97-BA9F-8BACEE046FC3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92-4C97-BA9F-8BACEE046FC3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92-4C97-BA9F-8BACEE046FC3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92-4C97-BA9F-8BACEE046FC3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92-4C97-BA9F-8BACEE046FC3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92-4C97-BA9F-8BACEE046FC3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92-4C97-BA9F-8BACEE046FC3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F92-4C97-BA9F-8BACEE046F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'3'!$R$15:$R$18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F92-4C97-BA9F-8BACEE046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'3'!$V$14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45-4C3D-9848-E3A741918F2D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45-4C3D-9848-E3A741918F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45-4C3D-9848-E3A741918F2D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45-4C3D-9848-E3A741918F2D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45-4C3D-9848-E3A741918F2D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C45-4C3D-9848-E3A741918F2D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C45-4C3D-9848-E3A741918F2D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C45-4C3D-9848-E3A741918F2D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AC45-4C3D-9848-E3A741918F2D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C45-4C3D-9848-E3A741918F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'3'!$V$15:$V$19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45-4C3D-9848-E3A74191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'4'!$B$5:$B$7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1-420D-8EDD-3025A1C2761F}"/>
            </c:ext>
          </c:extLst>
        </c:ser>
        <c:ser>
          <c:idx val="1"/>
          <c:order val="1"/>
          <c:tx>
            <c:strRef>
              <c:f>'4'!$C$4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'4'!$C$5:$C$7</c:f>
              <c:numCache>
                <c:formatCode>_-* #\ ##0.00\ [$zł-415]_-;\-* #\ ##0.00\ [$zł-415]_-;_-* "-"??\ [$zł-415]_-;_-@_-</c:formatCode>
                <c:ptCount val="3"/>
                <c:pt idx="0">
                  <c:v>4700</c:v>
                </c:pt>
                <c:pt idx="1">
                  <c:v>3973.16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1-420D-8EDD-3025A1C27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'4'!$B$14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1F0-44A6-AE48-3DAC3B9AC7A3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1F0-44A6-AE48-3DAC3B9AC7A3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1F0-44A6-AE48-3DAC3B9AC7A3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1F0-44A6-AE48-3DAC3B9AC7A3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1F0-44A6-AE48-3DAC3B9AC7A3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1F0-44A6-AE48-3DAC3B9AC7A3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1F0-44A6-AE48-3DAC3B9AC7A3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1F0-44A6-AE48-3DAC3B9AC7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'4'!$B$15:$B$18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F0-44A6-AE48-3DAC3B9AC7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'4'!$G$14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CB-47EB-85B1-F5125F7A8023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CB-47EB-85B1-F5125F7A8023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CB-47EB-85B1-F5125F7A8023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FCB-47EB-85B1-F5125F7A802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FCB-47EB-85B1-F5125F7A8023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FCB-47EB-85B1-F5125F7A8023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FCB-47EB-85B1-F5125F7A8023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FCB-47EB-85B1-F5125F7A8023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FCB-47EB-85B1-F5125F7A8023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FCB-47EB-85B1-F5125F7A8023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FCB-47EB-85B1-F5125F7A8023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CB-47EB-85B1-F5125F7A8023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FCB-47EB-85B1-F5125F7A8023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FCB-47EB-85B1-F5125F7A8023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FCB-47EB-85B1-F5125F7A8023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FCB-47EB-85B1-F5125F7A8023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DFCB-47EB-85B1-F5125F7A8023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FCB-47EB-85B1-F5125F7A80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'4'!$G$15:$G$23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FCB-47EB-85B1-F5125F7A8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'4'!$M$14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D8-4CBD-A1FB-D35B8456060A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D8-4CBD-A1FB-D35B8456060A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D8-4CBD-A1FB-D35B8456060A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FD8-4CBD-A1FB-D35B8456060A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FD8-4CBD-A1FB-D35B8456060A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FD8-4CBD-A1FB-D35B8456060A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FD8-4CBD-A1FB-D35B8456060A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D8-4CBD-A1FB-D35B8456060A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D8-4CBD-A1FB-D35B8456060A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D8-4CBD-A1FB-D35B8456060A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D8-4CBD-A1FB-D35B8456060A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D8-4CBD-A1FB-D35B8456060A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D8-4CBD-A1FB-D35B8456060A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D8-4CBD-A1FB-D35B845606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'4'!$M$15:$M$21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FD8-4CBD-A1FB-D35B84560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'4'!$R$14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6B7-45A6-88A5-D0E3A6E80D92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6B7-45A6-88A5-D0E3A6E80D92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6B7-45A6-88A5-D0E3A6E80D92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6B7-45A6-88A5-D0E3A6E80D92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B7-45A6-88A5-D0E3A6E80D92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B7-45A6-88A5-D0E3A6E80D92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6B7-45A6-88A5-D0E3A6E80D92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6B7-45A6-88A5-D0E3A6E80D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'4'!$R$15:$R$18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B7-45A6-88A5-D0E3A6E80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'4'!$V$14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EF-43FB-8641-087A1F1EE3B9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EF-43FB-8641-087A1F1EE3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EF-43FB-8641-087A1F1EE3B9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EF-43FB-8641-087A1F1EE3B9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EF-43FB-8641-087A1F1EE3B9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EF-43FB-8641-087A1F1EE3B9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EF-43FB-8641-087A1F1EE3B9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0EF-43FB-8641-087A1F1EE3B9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0EF-43FB-8641-087A1F1EE3B9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0EF-43FB-8641-087A1F1EE3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'4'!$V$15:$V$19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EF-43FB-8641-087A1F1EE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'5'!$B$4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'5'!$B$5:$B$7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8D-456D-85FD-1F91B2323B34}"/>
            </c:ext>
          </c:extLst>
        </c:ser>
        <c:ser>
          <c:idx val="1"/>
          <c:order val="1"/>
          <c:tx>
            <c:strRef>
              <c:f>'5'!$C$4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'5'!$A$5:$A$7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'5'!$C$5:$C$7</c:f>
              <c:numCache>
                <c:formatCode>_-* #\ ##0.00\ [$zł-415]_-;\-* #\ ##0.00\ [$zł-415]_-;_-* "-"??\ [$zł-415]_-;_-@_-</c:formatCode>
                <c:ptCount val="3"/>
                <c:pt idx="0">
                  <c:v>4500</c:v>
                </c:pt>
                <c:pt idx="1">
                  <c:v>3210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8D-456D-85FD-1F91B2323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'5'!$B$14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17-4C31-B96B-1828A6308899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17-4C31-B96B-1828A6308899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17-4C31-B96B-1828A6308899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17-4C31-B96B-1828A6308899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717-4C31-B96B-1828A6308899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17-4C31-B96B-1828A6308899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17-4C31-B96B-1828A6308899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17-4C31-B96B-1828A63088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'5'!$B$15:$B$18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717-4C31-B96B-1828A630889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'5'!$G$14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8B9-447F-913B-BEB2454D9001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8B9-447F-913B-BEB2454D9001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8B9-447F-913B-BEB2454D9001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8B9-447F-913B-BEB2454D9001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8B9-447F-913B-BEB2454D9001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8B9-447F-913B-BEB2454D9001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8B9-447F-913B-BEB2454D9001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8B9-447F-913B-BEB2454D9001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8B9-447F-913B-BEB2454D9001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B9-447F-913B-BEB2454D9001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B9-447F-913B-BEB2454D9001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B9-447F-913B-BEB2454D9001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B9-447F-913B-BEB2454D9001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8B9-447F-913B-BEB2454D9001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8B9-447F-913B-BEB2454D9001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8B9-447F-913B-BEB2454D9001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F8B9-447F-913B-BEB2454D9001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8B9-447F-913B-BEB2454D90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'5'!$G$15:$G$23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8B9-447F-913B-BEB2454D9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'5'!$M$14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B71-4CA6-B5A7-F92D8DDBAE65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B71-4CA6-B5A7-F92D8DDBAE65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B71-4CA6-B5A7-F92D8DDBAE65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B71-4CA6-B5A7-F92D8DDBAE65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B71-4CA6-B5A7-F92D8DDBAE65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B71-4CA6-B5A7-F92D8DDBAE65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B71-4CA6-B5A7-F92D8DDBAE65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71-4CA6-B5A7-F92D8DDBAE65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71-4CA6-B5A7-F92D8DDBAE65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B71-4CA6-B5A7-F92D8DDBAE65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B71-4CA6-B5A7-F92D8DDBAE65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71-4CA6-B5A7-F92D8DDBAE65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71-4CA6-B5A7-F92D8DDBAE65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71-4CA6-B5A7-F92D8DDBAE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'5'!$M$15:$M$21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B71-4CA6-B5A7-F92D8DDBA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'5'!$R$14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B0-4091-B767-FF9BDCE5584C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B0-4091-B767-FF9BDCE5584C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B0-4091-B767-FF9BDCE5584C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FB0-4091-B767-FF9BDCE5584C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B0-4091-B767-FF9BDCE5584C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B0-4091-B767-FF9BDCE5584C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B0-4091-B767-FF9BDCE5584C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B0-4091-B767-FF9BDCE558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'5'!$R$15:$R$18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FB0-4091-B767-FF9BDCE55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'5'!$V$14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E1-49F0-9B2E-4B6DF04055C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E1-49F0-9B2E-4B6DF04055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E1-49F0-9B2E-4B6DF04055C4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E1-49F0-9B2E-4B6DF04055C4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6E1-49F0-9B2E-4B6DF04055C4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E1-49F0-9B2E-4B6DF04055C4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E1-49F0-9B2E-4B6DF04055C4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E1-49F0-9B2E-4B6DF04055C4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6E1-49F0-9B2E-4B6DF04055C4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E1-49F0-9B2E-4B6DF04055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'5'!$V$15:$V$19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E1-49F0-9B2E-4B6DF0405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'6'!$B$4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'6'!$A$5:$A$7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'6'!$B$5:$B$7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E-4A0F-A5EB-578E1E130FD5}"/>
            </c:ext>
          </c:extLst>
        </c:ser>
        <c:ser>
          <c:idx val="1"/>
          <c:order val="1"/>
          <c:tx>
            <c:strRef>
              <c:f>'6'!$C$4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'6'!$A$5:$A$7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'6'!$C$5:$C$7</c:f>
              <c:numCache>
                <c:formatCode>_-* #\ ##0.00\ [$zł-415]_-;\-* #\ ##0.00\ [$zł-415]_-;_-* "-"??\ [$zł-415]_-;_-@_-</c:formatCode>
                <c:ptCount val="3"/>
                <c:pt idx="0">
                  <c:v>4900</c:v>
                </c:pt>
                <c:pt idx="1">
                  <c:v>3730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E-4A0F-A5EB-578E1E130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'6'!$B$14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0C-43C9-AC2B-CB793DA3AAA8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0C-43C9-AC2B-CB793DA3AAA8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0C-43C9-AC2B-CB793DA3AAA8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0C-43C9-AC2B-CB793DA3AAA8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0C-43C9-AC2B-CB793DA3AAA8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0C-43C9-AC2B-CB793DA3AAA8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0C-43C9-AC2B-CB793DA3AAA8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0C-43C9-AC2B-CB793DA3A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'6'!$B$15:$B$18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0C-43C9-AC2B-CB793DA3AA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'6'!$G$14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F0-470A-BDCE-A93790822F18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F0-470A-BDCE-A93790822F18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F0-470A-BDCE-A93790822F18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F0-470A-BDCE-A93790822F18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EF0-470A-BDCE-A93790822F18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EF0-470A-BDCE-A93790822F18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EF0-470A-BDCE-A93790822F18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EF0-470A-BDCE-A93790822F18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EF0-470A-BDCE-A93790822F18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F0-470A-BDCE-A93790822F18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EF0-470A-BDCE-A93790822F18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EF0-470A-BDCE-A93790822F18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EF0-470A-BDCE-A93790822F18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EF0-470A-BDCE-A93790822F18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EF0-470A-BDCE-A93790822F18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EF0-470A-BDCE-A93790822F18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CEF0-470A-BDCE-A93790822F18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EF0-470A-BDCE-A93790822F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'6'!$G$15:$G$23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EF0-470A-BDCE-A93790822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'6'!$M$14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91E-475D-9259-5CC0756501FC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91E-475D-9259-5CC0756501FC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91E-475D-9259-5CC0756501FC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91E-475D-9259-5CC0756501FC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E-475D-9259-5CC0756501FC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91E-475D-9259-5CC0756501FC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91E-475D-9259-5CC0756501FC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E-475D-9259-5CC0756501FC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1E-475D-9259-5CC0756501FC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1E-475D-9259-5CC0756501FC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91E-475D-9259-5CC0756501FC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E-475D-9259-5CC0756501FC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91E-475D-9259-5CC0756501FC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E-475D-9259-5CC0756501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'6'!$M$15:$M$21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91E-475D-9259-5CC075650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'6'!$R$14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36-4941-9EB4-FC1E0B0718C7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36-4941-9EB4-FC1E0B0718C7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36-4941-9EB4-FC1E0B0718C7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336-4941-9EB4-FC1E0B0718C7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36-4941-9EB4-FC1E0B0718C7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36-4941-9EB4-FC1E0B0718C7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336-4941-9EB4-FC1E0B0718C7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336-4941-9EB4-FC1E0B071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'6'!$R$15:$R$18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36-4941-9EB4-FC1E0B071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'6'!$V$14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61-4D65-B8AE-CE4338EB5A72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61-4D65-B8AE-CE4338EB5A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61-4D65-B8AE-CE4338EB5A72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61-4D65-B8AE-CE4338EB5A72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61-4D65-B8AE-CE4338EB5A72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61-4D65-B8AE-CE4338EB5A72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61-4D65-B8AE-CE4338EB5A72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F61-4D65-B8AE-CE4338EB5A72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F61-4D65-B8AE-CE4338EB5A72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F61-4D65-B8AE-CE4338EB5A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'6'!$V$15:$V$19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61-4D65-B8AE-CE4338EB5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'7'!$B$4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'7'!$A$5:$A$7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'7'!$B$5:$B$7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E-47B3-B78E-852D222FDC59}"/>
            </c:ext>
          </c:extLst>
        </c:ser>
        <c:ser>
          <c:idx val="1"/>
          <c:order val="1"/>
          <c:tx>
            <c:strRef>
              <c:f>'7'!$C$4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'7'!$A$5:$A$7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'7'!$C$5:$C$7</c:f>
              <c:numCache>
                <c:formatCode>_-* #\ ##0.00\ [$zł-415]_-;\-* #\ ##0.00\ [$zł-415]_-;_-* "-"??\ [$zł-415]_-;_-@_-</c:formatCode>
                <c:ptCount val="3"/>
                <c:pt idx="0">
                  <c:v>5920</c:v>
                </c:pt>
                <c:pt idx="1">
                  <c:v>3005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6E-47B3-B78E-852D222F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'7'!$B$14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8A3-4C60-9A47-24A3B7CEDCE3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8A3-4C60-9A47-24A3B7CEDCE3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8A3-4C60-9A47-24A3B7CEDCE3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8A3-4C60-9A47-24A3B7CEDCE3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A3-4C60-9A47-24A3B7CEDCE3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C60-9A47-24A3B7CEDCE3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A3-4C60-9A47-24A3B7CEDCE3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A3-4C60-9A47-24A3B7CEDC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'7'!$B$15:$B$18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A3-4C60-9A47-24A3B7CEDCE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'7'!$G$14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2C-4F04-991C-02EBF3B3F6FD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2C-4F04-991C-02EBF3B3F6FD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2C-4F04-991C-02EBF3B3F6FD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2C-4F04-991C-02EBF3B3F6FD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2C-4F04-991C-02EBF3B3F6FD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2C-4F04-991C-02EBF3B3F6FD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12C-4F04-991C-02EBF3B3F6FD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12C-4F04-991C-02EBF3B3F6FD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12C-4F04-991C-02EBF3B3F6FD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2C-4F04-991C-02EBF3B3F6FD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12C-4F04-991C-02EBF3B3F6FD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2C-4F04-991C-02EBF3B3F6FD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2C-4F04-991C-02EBF3B3F6FD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2C-4F04-991C-02EBF3B3F6FD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12C-4F04-991C-02EBF3B3F6FD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2C-4F04-991C-02EBF3B3F6FD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E12C-4F04-991C-02EBF3B3F6FD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12C-4F04-991C-02EBF3B3F6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'7'!$G$15:$G$23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12C-4F04-991C-02EBF3B3F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'7'!$M$14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6D-43F5-8B59-89CBA22A73E1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6D-43F5-8B59-89CBA22A73E1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76D-43F5-8B59-89CBA22A73E1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76D-43F5-8B59-89CBA22A73E1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76D-43F5-8B59-89CBA22A73E1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76D-43F5-8B59-89CBA22A73E1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76D-43F5-8B59-89CBA22A73E1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76D-43F5-8B59-89CBA22A73E1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6D-43F5-8B59-89CBA22A73E1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6D-43F5-8B59-89CBA22A73E1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76D-43F5-8B59-89CBA22A73E1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76D-43F5-8B59-89CBA22A73E1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76D-43F5-8B59-89CBA22A73E1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76D-43F5-8B59-89CBA22A73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'7'!$M$15:$M$21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76D-43F5-8B59-89CBA22A7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'7'!$R$14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019-4B96-ACE5-B014DBAA0F8B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019-4B96-ACE5-B014DBAA0F8B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019-4B96-ACE5-B014DBAA0F8B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019-4B96-ACE5-B014DBAA0F8B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19-4B96-ACE5-B014DBAA0F8B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19-4B96-ACE5-B014DBAA0F8B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019-4B96-ACE5-B014DBAA0F8B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019-4B96-ACE5-B014DBAA0F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'7'!$R$15:$R$18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019-4B96-ACE5-B014DBAA0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'7'!$V$14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CB-4EB8-8E7E-E9DBBE03608A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CB-4EB8-8E7E-E9DBBE0360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CB-4EB8-8E7E-E9DBBE03608A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CB-4EB8-8E7E-E9DBBE03608A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CB-4EB8-8E7E-E9DBBE03608A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B-4EB8-8E7E-E9DBBE03608A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B-4EB8-8E7E-E9DBBE03608A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B-4EB8-8E7E-E9DBBE03608A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1CCB-4EB8-8E7E-E9DBBE03608A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B-4EB8-8E7E-E9DBBE0360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'7'!$V$15:$V$19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CCB-4EB8-8E7E-E9DBBE036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'8'!$B$4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'8'!$A$5:$A$7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'8'!$B$5:$B$7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A-41B9-9558-15BCCFD02270}"/>
            </c:ext>
          </c:extLst>
        </c:ser>
        <c:ser>
          <c:idx val="1"/>
          <c:order val="1"/>
          <c:tx>
            <c:strRef>
              <c:f>'8'!$C$4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'8'!$A$5:$A$7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'8'!$C$5:$C$7</c:f>
              <c:numCache>
                <c:formatCode>_-* #\ ##0.00\ [$zł-415]_-;\-* #\ ##0.00\ [$zł-415]_-;_-* "-"??\ [$zł-415]_-;_-@_-</c:formatCode>
                <c:ptCount val="3"/>
                <c:pt idx="0">
                  <c:v>5400</c:v>
                </c:pt>
                <c:pt idx="1">
                  <c:v>3989.5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9A-41B9-9558-15BCCFD02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'8'!$B$14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F96-458B-B643-B245984164DB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F96-458B-B643-B245984164DB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F96-458B-B643-B245984164DB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F96-458B-B643-B245984164DB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96-458B-B643-B245984164DB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96-458B-B643-B245984164DB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96-458B-B643-B245984164DB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F96-458B-B643-B245984164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'8'!$B$15:$B$18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96-458B-B643-B245984164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'8'!$G$14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253-4535-B39F-35C16E31D141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253-4535-B39F-35C16E31D141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253-4535-B39F-35C16E31D141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253-4535-B39F-35C16E31D141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253-4535-B39F-35C16E31D141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253-4535-B39F-35C16E31D141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253-4535-B39F-35C16E31D141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253-4535-B39F-35C16E31D141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253-4535-B39F-35C16E31D141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53-4535-B39F-35C16E31D141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53-4535-B39F-35C16E31D141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53-4535-B39F-35C16E31D141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53-4535-B39F-35C16E31D141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53-4535-B39F-35C16E31D141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53-4535-B39F-35C16E31D141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53-4535-B39F-35C16E31D141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7253-4535-B39F-35C16E31D141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53-4535-B39F-35C16E31D1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'8'!$G$15:$G$23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253-4535-B39F-35C16E31D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'8'!$M$14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D5-4D0E-9A25-0D4AA8BDE7FA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D5-4D0E-9A25-0D4AA8BDE7FA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D5-4D0E-9A25-0D4AA8BDE7FA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FD5-4D0E-9A25-0D4AA8BDE7FA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FD5-4D0E-9A25-0D4AA8BDE7FA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D5-4D0E-9A25-0D4AA8BDE7FA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FD5-4D0E-9A25-0D4AA8BDE7FA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D5-4D0E-9A25-0D4AA8BDE7FA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D5-4D0E-9A25-0D4AA8BDE7FA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D5-4D0E-9A25-0D4AA8BDE7FA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FD5-4D0E-9A25-0D4AA8BDE7FA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FD5-4D0E-9A25-0D4AA8BDE7FA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FD5-4D0E-9A25-0D4AA8BDE7FA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FD5-4D0E-9A25-0D4AA8BDE7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'8'!$M$15:$M$21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FD5-4D0E-9A25-0D4AA8BDE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'8'!$R$14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C86-493A-9515-2D6B07D5DAF3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C86-493A-9515-2D6B07D5DAF3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C86-493A-9515-2D6B07D5DAF3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C86-493A-9515-2D6B07D5DAF3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C86-493A-9515-2D6B07D5DAF3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C86-493A-9515-2D6B07D5DAF3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C86-493A-9515-2D6B07D5DAF3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C86-493A-9515-2D6B07D5DA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'8'!$R$15:$R$18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C86-493A-9515-2D6B07D5D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'8'!$V$14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F27-4ED2-AE05-25DE30F91891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F27-4ED2-AE05-25DE30F9189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F27-4ED2-AE05-25DE30F91891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F27-4ED2-AE05-25DE30F91891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F27-4ED2-AE05-25DE30F91891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27-4ED2-AE05-25DE30F91891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27-4ED2-AE05-25DE30F91891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27-4ED2-AE05-25DE30F91891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F27-4ED2-AE05-25DE30F91891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F27-4ED2-AE05-25DE30F918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'8'!$V$15:$V$19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27-4ED2-AE05-25DE30F91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'9'!$B$4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'9'!$A$5:$A$7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'9'!$B$5:$B$7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4-4A9D-9162-C0300DA8A83D}"/>
            </c:ext>
          </c:extLst>
        </c:ser>
        <c:ser>
          <c:idx val="1"/>
          <c:order val="1"/>
          <c:tx>
            <c:strRef>
              <c:f>'9'!$C$4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'9'!$A$5:$A$7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'9'!$C$5:$C$7</c:f>
              <c:numCache>
                <c:formatCode>_-* #\ ##0.00\ [$zł-415]_-;\-* #\ ##0.00\ [$zł-415]_-;_-* "-"??\ [$zł-415]_-;_-@_-</c:formatCode>
                <c:ptCount val="3"/>
                <c:pt idx="0">
                  <c:v>4500</c:v>
                </c:pt>
                <c:pt idx="1">
                  <c:v>2748.5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4-4A9D-9162-C0300DA8A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'9'!$B$14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53-4838-8A84-C3F7DE411D48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53-4838-8A84-C3F7DE411D48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153-4838-8A84-C3F7DE411D48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153-4838-8A84-C3F7DE411D48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53-4838-8A84-C3F7DE411D48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53-4838-8A84-C3F7DE411D48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53-4838-8A84-C3F7DE411D48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53-4838-8A84-C3F7DE411D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'9'!$B$15:$B$18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53-4838-8A84-C3F7DE411D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'9'!$G$14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F6-48F5-B7CF-93EFB754C3E1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F6-48F5-B7CF-93EFB754C3E1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F6-48F5-B7CF-93EFB754C3E1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F6-48F5-B7CF-93EFB754C3E1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F6-48F5-B7CF-93EFB754C3E1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6F6-48F5-B7CF-93EFB754C3E1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6F6-48F5-B7CF-93EFB754C3E1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6F6-48F5-B7CF-93EFB754C3E1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6F6-48F5-B7CF-93EFB754C3E1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F6-48F5-B7CF-93EFB754C3E1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F6-48F5-B7CF-93EFB754C3E1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F6-48F5-B7CF-93EFB754C3E1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F6-48F5-B7CF-93EFB754C3E1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6F6-48F5-B7CF-93EFB754C3E1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F6-48F5-B7CF-93EFB754C3E1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F6-48F5-B7CF-93EFB754C3E1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F6F6-48F5-B7CF-93EFB754C3E1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F6-48F5-B7CF-93EFB754C3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'9'!$G$15:$G$23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F6-48F5-B7CF-93EFB754C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'9'!$M$14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7C5-4463-9700-72552E65FD78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7C5-4463-9700-72552E65FD78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7C5-4463-9700-72552E65FD78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7C5-4463-9700-72552E65FD78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7C5-4463-9700-72552E65FD78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7C5-4463-9700-72552E65FD78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7C5-4463-9700-72552E65FD78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C5-4463-9700-72552E65FD78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7C5-4463-9700-72552E65FD78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C5-4463-9700-72552E65FD78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C5-4463-9700-72552E65FD78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C5-4463-9700-72552E65FD78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C5-4463-9700-72552E65FD78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C5-4463-9700-72552E65FD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'9'!$M$15:$M$21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7C5-4463-9700-72552E65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'9'!$R$14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F0-4A66-90A2-1F68120BFD42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F0-4A66-90A2-1F68120BFD42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F0-4A66-90A2-1F68120BFD42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F0-4A66-90A2-1F68120BFD42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F0-4A66-90A2-1F68120BFD42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F0-4A66-90A2-1F68120BFD42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F0-4A66-90A2-1F68120BFD42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F0-4A66-90A2-1F68120BFD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'9'!$R$15:$R$18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F0-4A66-90A2-1F68120BF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'9'!$V$14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4D-4F59-BCEB-7866A0079D73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B4D-4F59-BCEB-7866A0079D7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B4D-4F59-BCEB-7866A0079D73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B4D-4F59-BCEB-7866A0079D73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B4D-4F59-BCEB-7866A0079D73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4D-4F59-BCEB-7866A0079D73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4D-4F59-BCEB-7866A0079D73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B4D-4F59-BCEB-7866A0079D73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FB4D-4F59-BCEB-7866A0079D73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4D-4F59-BCEB-7866A0079D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'9'!$V$15:$V$19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B4D-4F59-BCEB-7866A0079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'10'!$B$4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'10'!$B$5:$B$7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B6-4F4D-9AEA-EF4F8A827DCF}"/>
            </c:ext>
          </c:extLst>
        </c:ser>
        <c:ser>
          <c:idx val="1"/>
          <c:order val="1"/>
          <c:tx>
            <c:strRef>
              <c:f>'10'!$C$4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'10'!$A$5:$A$7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'10'!$C$5:$C$7</c:f>
              <c:numCache>
                <c:formatCode>_-* #\ ##0.00\ [$zł-415]_-;\-* #\ ##0.00\ [$zł-415]_-;_-* "-"??\ [$zł-415]_-;_-@_-</c:formatCode>
                <c:ptCount val="3"/>
                <c:pt idx="0">
                  <c:v>4500</c:v>
                </c:pt>
                <c:pt idx="1">
                  <c:v>2830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B6-4F4D-9AEA-EF4F8A827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'10'!$B$14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398-460A-9E49-D006CE1BD54A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398-460A-9E49-D006CE1BD54A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398-460A-9E49-D006CE1BD54A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398-460A-9E49-D006CE1BD54A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398-460A-9E49-D006CE1BD54A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98-460A-9E49-D006CE1BD54A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398-460A-9E49-D006CE1BD54A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398-460A-9E49-D006CE1BD5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'10'!$B$15:$B$18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398-460A-9E49-D006CE1BD54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'10'!$G$14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40-4882-B026-283AC9EBDF29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40-4882-B026-283AC9EBDF29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40-4882-B026-283AC9EBDF29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40-4882-B026-283AC9EBDF29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40-4882-B026-283AC9EBDF29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40-4882-B026-283AC9EBDF29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40-4882-B026-283AC9EBDF29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40-4882-B026-283AC9EBDF29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40-4882-B026-283AC9EBDF29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40-4882-B026-283AC9EBDF29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40-4882-B026-283AC9EBDF29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C40-4882-B026-283AC9EBDF29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C40-4882-B026-283AC9EBDF29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C40-4882-B026-283AC9EBDF29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C40-4882-B026-283AC9EBDF29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C40-4882-B026-283AC9EBDF29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5C40-4882-B026-283AC9EBDF29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C40-4882-B026-283AC9EBDF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'10'!$G$15:$G$23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C40-4882-B026-283AC9EBD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'10'!$M$14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2-4D32-975C-6A5EFC84723C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2-4D32-975C-6A5EFC84723C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2-4D32-975C-6A5EFC84723C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2-4D32-975C-6A5EFC84723C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2-4D32-975C-6A5EFC84723C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2-4D32-975C-6A5EFC84723C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2-4D32-975C-6A5EFC84723C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E2-4D32-975C-6A5EFC84723C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E2-4D32-975C-6A5EFC84723C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E2-4D32-975C-6A5EFC84723C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6E2-4D32-975C-6A5EFC84723C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6E2-4D32-975C-6A5EFC84723C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6E2-4D32-975C-6A5EFC84723C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6E2-4D32-975C-6A5EFC8472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'10'!$M$15:$M$21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6E2-4D32-975C-6A5EFC847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'10'!$R$14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D62-4874-BBFD-10E51DF18F8E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D62-4874-BBFD-10E51DF18F8E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D62-4874-BBFD-10E51DF18F8E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D62-4874-BBFD-10E51DF18F8E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62-4874-BBFD-10E51DF18F8E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62-4874-BBFD-10E51DF18F8E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62-4874-BBFD-10E51DF18F8E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62-4874-BBFD-10E51DF18F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'10'!$R$15:$R$18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62-4874-BBFD-10E51DF18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'10'!$V$14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F03-4D5B-BFF9-2F5D88E193F2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F03-4D5B-BFF9-2F5D88E193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F03-4D5B-BFF9-2F5D88E193F2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F03-4D5B-BFF9-2F5D88E193F2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03-4D5B-BFF9-2F5D88E193F2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03-4D5B-BFF9-2F5D88E193F2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03-4D5B-BFF9-2F5D88E193F2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03-4D5B-BFF9-2F5D88E193F2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F03-4D5B-BFF9-2F5D88E193F2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03-4D5B-BFF9-2F5D88E193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'10'!$V$15:$V$19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F03-4D5B-BFF9-2F5D88E19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'11'!$B$4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'11'!$B$5:$B$7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B-4F8D-BC83-14E9A2B90EF2}"/>
            </c:ext>
          </c:extLst>
        </c:ser>
        <c:ser>
          <c:idx val="1"/>
          <c:order val="1"/>
          <c:tx>
            <c:strRef>
              <c:f>'11'!$C$4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'11'!$A$5:$A$7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'11'!$C$5:$C$7</c:f>
              <c:numCache>
                <c:formatCode>_-* #\ ##0.00\ [$zł-415]_-;\-* #\ ##0.00\ [$zł-415]_-;_-* "-"??\ [$zł-415]_-;_-@_-</c:formatCode>
                <c:ptCount val="3"/>
                <c:pt idx="0">
                  <c:v>4900</c:v>
                </c:pt>
                <c:pt idx="1">
                  <c:v>3500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3B-4F8D-BC83-14E9A2B90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'11'!$B$14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1-4E8B-B99F-3F0EF89C7EC8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1-4E8B-B99F-3F0EF89C7EC8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1-4E8B-B99F-3F0EF89C7EC8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1-4E8B-B99F-3F0EF89C7EC8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2C1-4E8B-B99F-3F0EF89C7EC8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1-4E8B-B99F-3F0EF89C7EC8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C1-4E8B-B99F-3F0EF89C7EC8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C1-4E8B-B99F-3F0EF89C7E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'11'!$B$15:$B$18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C1-4E8B-B99F-3F0EF89C7E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'11'!$G$14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6D-404E-9ECE-2131C3800009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6D-404E-9ECE-2131C3800009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D6D-404E-9ECE-2131C3800009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6D-404E-9ECE-2131C3800009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D6D-404E-9ECE-2131C3800009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D6D-404E-9ECE-2131C3800009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D6D-404E-9ECE-2131C3800009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D6D-404E-9ECE-2131C3800009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D6D-404E-9ECE-2131C3800009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D6D-404E-9ECE-2131C3800009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6D-404E-9ECE-2131C3800009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6D-404E-9ECE-2131C3800009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D6D-404E-9ECE-2131C3800009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D6D-404E-9ECE-2131C3800009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D6D-404E-9ECE-2131C3800009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D6D-404E-9ECE-2131C3800009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D6D-404E-9ECE-2131C3800009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D6D-404E-9ECE-2131C380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'11'!$G$15:$G$23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D6D-404E-9ECE-2131C380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'11'!$M$14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73-4C70-88AF-4FFC99D76B4D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73-4C70-88AF-4FFC99D76B4D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73-4C70-88AF-4FFC99D76B4D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73-4C70-88AF-4FFC99D76B4D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73-4C70-88AF-4FFC99D76B4D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73-4C70-88AF-4FFC99D76B4D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73-4C70-88AF-4FFC99D76B4D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873-4C70-88AF-4FFC99D76B4D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873-4C70-88AF-4FFC99D76B4D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873-4C70-88AF-4FFC99D76B4D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873-4C70-88AF-4FFC99D76B4D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873-4C70-88AF-4FFC99D76B4D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873-4C70-88AF-4FFC99D76B4D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873-4C70-88AF-4FFC99D76B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'11'!$M$15:$M$21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873-4C70-88AF-4FFC99D76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'11'!$R$14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9E3-4D15-BF8F-DB615DFFC3AE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9E3-4D15-BF8F-DB615DFFC3AE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9E3-4D15-BF8F-DB615DFFC3AE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9E3-4D15-BF8F-DB615DFFC3AE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9E3-4D15-BF8F-DB615DFFC3AE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9E3-4D15-BF8F-DB615DFFC3AE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9E3-4D15-BF8F-DB615DFFC3AE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9E3-4D15-BF8F-DB615DFFC3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'11'!$R$15:$R$18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9E3-4D15-BF8F-DB615DFFC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'11'!$V$14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42-420E-A1A9-1CDEF103F9D3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42-420E-A1A9-1CDEF103F9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42-420E-A1A9-1CDEF103F9D3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42-420E-A1A9-1CDEF103F9D3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42-420E-A1A9-1CDEF103F9D3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542-420E-A1A9-1CDEF103F9D3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542-420E-A1A9-1CDEF103F9D3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542-420E-A1A9-1CDEF103F9D3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542-420E-A1A9-1CDEF103F9D3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542-420E-A1A9-1CDEF103F9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'11'!$V$15:$V$19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542-420E-A1A9-1CDEF103F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0647680374888094"/>
          <c:y val="0.23167760222027581"/>
          <c:w val="0.61271527657910585"/>
          <c:h val="0.632361885757691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'12'!$B$4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'12'!$B$5:$B$7</c:f>
              <c:numCache>
                <c:formatCode>_-* #\ ##0.00\ [$zł-415]_-;\-* #\ ##0.00\ [$zł-415]_-;_-* "-"??\ [$zł-415]_-;_-@_-</c:formatCode>
                <c:ptCount val="3"/>
                <c:pt idx="0">
                  <c:v>5700</c:v>
                </c:pt>
                <c:pt idx="1">
                  <c:v>3800</c:v>
                </c:pt>
                <c:pt idx="2">
                  <c:v>1900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0D-4898-8EC7-392D166B3372}"/>
            </c:ext>
          </c:extLst>
        </c:ser>
        <c:ser>
          <c:idx val="1"/>
          <c:order val="1"/>
          <c:tx>
            <c:strRef>
              <c:f>'12'!$C$4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'12'!$A$5:$A$7</c:f>
              <c:strCache>
                <c:ptCount val="3"/>
                <c:pt idx="0">
                  <c:v>Income</c:v>
                </c:pt>
                <c:pt idx="1">
                  <c:v>Expences</c:v>
                </c:pt>
                <c:pt idx="2">
                  <c:v>Savings</c:v>
                </c:pt>
              </c:strCache>
            </c:strRef>
          </c:cat>
          <c:val>
            <c:numRef>
              <c:f>'12'!$C$5:$C$7</c:f>
              <c:numCache>
                <c:formatCode>_-* #\ ##0.00\ [$zł-415]_-;\-* #\ ##0.00\ [$zł-415]_-;_-* "-"??\ [$zł-415]_-;_-@_-</c:formatCode>
                <c:ptCount val="3"/>
                <c:pt idx="0">
                  <c:v>6500</c:v>
                </c:pt>
                <c:pt idx="1">
                  <c:v>4080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0D-4898-8EC7-392D166B3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911614703"/>
        <c:axId val="911618063"/>
      </c:barChart>
      <c:catAx>
        <c:axId val="91161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8063"/>
        <c:crosses val="autoZero"/>
        <c:auto val="1"/>
        <c:lblAlgn val="ctr"/>
        <c:lblOffset val="100"/>
        <c:noMultiLvlLbl val="0"/>
      </c:catAx>
      <c:valAx>
        <c:axId val="9116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zł-415]_-;\-* #\ ##0.00\ [$zł-415]_-;_-* &quot;-&quot;??\ [$zł-415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1161470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</a:t>
            </a:r>
            <a:r>
              <a:rPr lang="en-US" baseline="0"/>
              <a:t> structure</a:t>
            </a:r>
          </a:p>
        </c:rich>
      </c:tx>
      <c:layout>
        <c:manualLayout>
          <c:xMode val="edge"/>
          <c:yMode val="edge"/>
          <c:x val="0.26334198660143271"/>
          <c:y val="2.7777949713916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'12'!$B$14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8C-4ADA-831B-3DA117803983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8C-4ADA-831B-3DA117803983}"/>
              </c:ext>
            </c:extLst>
          </c:dPt>
          <c:dPt>
            <c:idx val="2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8C-4ADA-831B-3DA117803983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B8C-4ADA-831B-3DA117803983}"/>
              </c:ext>
            </c:extLst>
          </c:dPt>
          <c:dLbls>
            <c:dLbl>
              <c:idx val="0"/>
              <c:layout>
                <c:manualLayout>
                  <c:x val="0.14166666666666666"/>
                  <c:y val="-0.1296296296296296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8C-4ADA-831B-3DA117803983}"/>
                </c:ext>
              </c:extLst>
            </c:dLbl>
            <c:dLbl>
              <c:idx val="1"/>
              <c:layout>
                <c:manualLayout>
                  <c:x val="9.1666666666666563E-2"/>
                  <c:y val="-5.555555555555560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8C-4ADA-831B-3DA117803983}"/>
                </c:ext>
              </c:extLst>
            </c:dLbl>
            <c:dLbl>
              <c:idx val="2"/>
              <c:layout>
                <c:manualLayout>
                  <c:x val="-0.14722222222222223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8C-4ADA-831B-3DA117803983}"/>
                </c:ext>
              </c:extLst>
            </c:dLbl>
            <c:dLbl>
              <c:idx val="3"/>
              <c:layout>
                <c:manualLayout>
                  <c:x val="-0.18611111111111112"/>
                  <c:y val="-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B8C-4ADA-831B-3DA1178039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'12'!$A$15:$A$18</c:f>
              <c:strCache>
                <c:ptCount val="4"/>
                <c:pt idx="0">
                  <c:v>Allowance</c:v>
                </c:pt>
                <c:pt idx="1">
                  <c:v>Financial</c:v>
                </c:pt>
                <c:pt idx="2">
                  <c:v>Gift</c:v>
                </c:pt>
                <c:pt idx="3">
                  <c:v>Other incoms</c:v>
                </c:pt>
              </c:strCache>
            </c:strRef>
          </c:cat>
          <c:val>
            <c:numRef>
              <c:f>'12'!$B$15:$B$18</c:f>
              <c:numCache>
                <c:formatCode>General</c:formatCode>
                <c:ptCount val="4"/>
                <c:pt idx="0">
                  <c:v>2500</c:v>
                </c:pt>
                <c:pt idx="1">
                  <c:v>300</c:v>
                </c:pt>
                <c:pt idx="2">
                  <c:v>500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8C-4ADA-831B-3DA1178039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Expences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3646655806978"/>
          <c:y val="0.18436236168570816"/>
          <c:w val="0.4527270668838605"/>
          <c:h val="0.66853491293525125"/>
        </c:manualLayout>
      </c:layout>
      <c:doughnutChart>
        <c:varyColors val="1"/>
        <c:ser>
          <c:idx val="0"/>
          <c:order val="0"/>
          <c:tx>
            <c:strRef>
              <c:f>'12'!$G$14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AD-4963-A27D-1AFC9A41D692}"/>
              </c:ext>
            </c:extLst>
          </c:dPt>
          <c:dPt>
            <c:idx val="1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AD-4963-A27D-1AFC9A41D692}"/>
              </c:ext>
            </c:extLst>
          </c:dPt>
          <c:dPt>
            <c:idx val="2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AD-4963-A27D-1AFC9A41D692}"/>
              </c:ext>
            </c:extLst>
          </c:dPt>
          <c:dPt>
            <c:idx val="3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8AD-4963-A27D-1AFC9A41D692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8AD-4963-A27D-1AFC9A41D692}"/>
              </c:ext>
            </c:extLst>
          </c:dPt>
          <c:dPt>
            <c:idx val="5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8AD-4963-A27D-1AFC9A41D692}"/>
              </c:ext>
            </c:extLst>
          </c:dPt>
          <c:dPt>
            <c:idx val="6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8AD-4963-A27D-1AFC9A41D692}"/>
              </c:ext>
            </c:extLst>
          </c:dPt>
          <c:dPt>
            <c:idx val="7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8AD-4963-A27D-1AFC9A41D692}"/>
              </c:ext>
            </c:extLst>
          </c:dPt>
          <c:dPt>
            <c:idx val="8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8AD-4963-A27D-1AFC9A41D692}"/>
              </c:ext>
            </c:extLst>
          </c:dPt>
          <c:dLbls>
            <c:dLbl>
              <c:idx val="0"/>
              <c:layout>
                <c:manualLayout>
                  <c:x val="0.1909355714808105"/>
                  <c:y val="0.1053299234665753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8AD-4963-A27D-1AFC9A41D692}"/>
                </c:ext>
              </c:extLst>
            </c:dLbl>
            <c:dLbl>
              <c:idx val="1"/>
              <c:layout>
                <c:manualLayout>
                  <c:x val="0.27222222222222231"/>
                  <c:y val="-4.166666666666675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AD-4963-A27D-1AFC9A41D692}"/>
                </c:ext>
              </c:extLst>
            </c:dLbl>
            <c:dLbl>
              <c:idx val="2"/>
              <c:layout>
                <c:manualLayout>
                  <c:x val="-0.1953703137497885"/>
                  <c:y val="0.189335003452417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8AD-4963-A27D-1AFC9A41D692}"/>
                </c:ext>
              </c:extLst>
            </c:dLbl>
            <c:dLbl>
              <c:idx val="3"/>
              <c:layout>
                <c:manualLayout>
                  <c:x val="-0.20000000000000004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8AD-4963-A27D-1AFC9A41D692}"/>
                </c:ext>
              </c:extLst>
            </c:dLbl>
            <c:dLbl>
              <c:idx val="4"/>
              <c:layout>
                <c:manualLayout>
                  <c:x val="-0.27144242583201761"/>
                  <c:y val="0.157383459148326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8AD-4963-A27D-1AFC9A41D692}"/>
                </c:ext>
              </c:extLst>
            </c:dLbl>
            <c:dLbl>
              <c:idx val="5"/>
              <c:layout>
                <c:manualLayout>
                  <c:x val="-0.30833333333333335"/>
                  <c:y val="9.259259259259258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AD-4963-A27D-1AFC9A41D692}"/>
                </c:ext>
              </c:extLst>
            </c:dLbl>
            <c:dLbl>
              <c:idx val="6"/>
              <c:layout>
                <c:manualLayout>
                  <c:x val="-0.28333333333333333"/>
                  <c:y val="-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AD-4963-A27D-1AFC9A41D692}"/>
                </c:ext>
              </c:extLst>
            </c:dLbl>
            <c:dLbl>
              <c:idx val="7"/>
              <c:layout>
                <c:manualLayout>
                  <c:x val="-0.29756327390955511"/>
                  <c:y val="-0.1479317407727613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221044814276438"/>
                      <c:h val="0.1655960062201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E8AD-4963-A27D-1AFC9A41D692}"/>
                </c:ext>
              </c:extLst>
            </c:dLbl>
            <c:dLbl>
              <c:idx val="8"/>
              <c:layout>
                <c:manualLayout>
                  <c:x val="0.32046771820501241"/>
                  <c:y val="-0.138769053573397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AD-4963-A27D-1AFC9A41D6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'12'!$F$15:$F$23</c:f>
              <c:strCache>
                <c:ptCount val="9"/>
                <c:pt idx="0">
                  <c:v>Accomodation</c:v>
                </c:pt>
                <c:pt idx="1">
                  <c:v>Clothing</c:v>
                </c:pt>
                <c:pt idx="2">
                  <c:v>Entertainment</c:v>
                </c:pt>
                <c:pt idx="3">
                  <c:v>Groceries</c:v>
                </c:pt>
                <c:pt idx="4">
                  <c:v>Health&amp;Beauty</c:v>
                </c:pt>
                <c:pt idx="5">
                  <c:v>Multimedia</c:v>
                </c:pt>
                <c:pt idx="6">
                  <c:v>Other expences</c:v>
                </c:pt>
                <c:pt idx="7">
                  <c:v>Studies</c:v>
                </c:pt>
                <c:pt idx="8">
                  <c:v>Transportation</c:v>
                </c:pt>
              </c:strCache>
            </c:strRef>
          </c:cat>
          <c:val>
            <c:numRef>
              <c:f>'12'!$G$15:$G$23</c:f>
              <c:numCache>
                <c:formatCode>General</c:formatCode>
                <c:ptCount val="9"/>
                <c:pt idx="0">
                  <c:v>1740</c:v>
                </c:pt>
                <c:pt idx="1">
                  <c:v>200</c:v>
                </c:pt>
                <c:pt idx="2">
                  <c:v>300</c:v>
                </c:pt>
                <c:pt idx="3">
                  <c:v>750</c:v>
                </c:pt>
                <c:pt idx="4">
                  <c:v>130</c:v>
                </c:pt>
                <c:pt idx="5">
                  <c:v>130</c:v>
                </c:pt>
                <c:pt idx="6">
                  <c:v>200</c:v>
                </c:pt>
                <c:pt idx="7">
                  <c:v>200</c:v>
                </c:pt>
                <c:pt idx="8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8AD-4963-A27D-1AFC9A41D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Bills</a:t>
            </a:r>
            <a:r>
              <a:rPr lang="en-US" baseline="0"/>
              <a:t> structure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30531780402449693"/>
          <c:y val="0.21740449110527851"/>
          <c:w val="0.40047572178477692"/>
          <c:h val="0.66745953630796151"/>
        </c:manualLayout>
      </c:layout>
      <c:doughnutChart>
        <c:varyColors val="1"/>
        <c:ser>
          <c:idx val="0"/>
          <c:order val="0"/>
          <c:tx>
            <c:strRef>
              <c:f>'12'!$M$14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4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F0-4726-A12D-8C50060B869C}"/>
              </c:ext>
            </c:extLst>
          </c:dPt>
          <c:dPt>
            <c:idx val="1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F0-4726-A12D-8C50060B869C}"/>
              </c:ext>
            </c:extLst>
          </c:dPt>
          <c:dPt>
            <c:idx val="2"/>
            <c:bubble3D val="0"/>
            <c:spPr>
              <a:solidFill>
                <a:schemeClr val="accent1">
                  <a:shade val="8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F0-4726-A12D-8C50060B869C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F0-4726-A12D-8C50060B869C}"/>
              </c:ext>
            </c:extLst>
          </c:dPt>
          <c:dPt>
            <c:idx val="4"/>
            <c:bubble3D val="0"/>
            <c:spPr>
              <a:solidFill>
                <a:schemeClr val="accent1">
                  <a:tint val="8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5F0-4726-A12D-8C50060B869C}"/>
              </c:ext>
            </c:extLst>
          </c:dPt>
          <c:dPt>
            <c:idx val="5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5F0-4726-A12D-8C50060B869C}"/>
              </c:ext>
            </c:extLst>
          </c:dPt>
          <c:dPt>
            <c:idx val="6"/>
            <c:bubble3D val="0"/>
            <c:spPr>
              <a:solidFill>
                <a:schemeClr val="accent1">
                  <a:tint val="4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5F0-4726-A12D-8C50060B869C}"/>
              </c:ext>
            </c:extLst>
          </c:dPt>
          <c:dLbls>
            <c:dLbl>
              <c:idx val="0"/>
              <c:layout>
                <c:manualLayout>
                  <c:x val="0.18888888888888888"/>
                  <c:y val="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F0-4726-A12D-8C50060B869C}"/>
                </c:ext>
              </c:extLst>
            </c:dLbl>
            <c:dLbl>
              <c:idx val="1"/>
              <c:layout>
                <c:manualLayout>
                  <c:x val="-0.26736701012210801"/>
                  <c:y val="0.231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F0-4726-A12D-8C50060B869C}"/>
                </c:ext>
              </c:extLst>
            </c:dLbl>
            <c:dLbl>
              <c:idx val="2"/>
              <c:layout>
                <c:manualLayout>
                  <c:x val="-0.29450143560621261"/>
                  <c:y val="-4.629629629629638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5F0-4726-A12D-8C50060B869C}"/>
                </c:ext>
              </c:extLst>
            </c:dLbl>
            <c:dLbl>
              <c:idx val="3"/>
              <c:layout>
                <c:manualLayout>
                  <c:x val="-0.31289292632278742"/>
                  <c:y val="-0.1574074074074074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5F0-4726-A12D-8C50060B869C}"/>
                </c:ext>
              </c:extLst>
            </c:dLbl>
            <c:dLbl>
              <c:idx val="4"/>
              <c:layout>
                <c:manualLayout>
                  <c:x val="-0.18350977502505814"/>
                  <c:y val="-0.2175925925925925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5F0-4726-A12D-8C50060B869C}"/>
                </c:ext>
              </c:extLst>
            </c:dLbl>
            <c:dLbl>
              <c:idx val="5"/>
              <c:layout>
                <c:manualLayout>
                  <c:x val="-3.9827937362907684E-2"/>
                  <c:y val="-0.166666666666666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5F0-4726-A12D-8C50060B869C}"/>
                </c:ext>
              </c:extLst>
            </c:dLbl>
            <c:dLbl>
              <c:idx val="6"/>
              <c:layout>
                <c:manualLayout>
                  <c:x val="0.31666666666666665"/>
                  <c:y val="-5.09259259259259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5F0-4726-A12D-8C50060B86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'12'!$K$15:$K$21</c:f>
              <c:strCache>
                <c:ptCount val="7"/>
                <c:pt idx="0">
                  <c:v>Rent</c:v>
                </c:pt>
                <c:pt idx="1">
                  <c:v>Internet</c:v>
                </c:pt>
                <c:pt idx="2">
                  <c:v>Mobile phone</c:v>
                </c:pt>
                <c:pt idx="3">
                  <c:v>Water</c:v>
                </c:pt>
                <c:pt idx="4">
                  <c:v>Gas</c:v>
                </c:pt>
                <c:pt idx="5">
                  <c:v>Electricity</c:v>
                </c:pt>
                <c:pt idx="6">
                  <c:v>Waste</c:v>
                </c:pt>
              </c:strCache>
            </c:strRef>
          </c:cat>
          <c:val>
            <c:numRef>
              <c:f>'12'!$M$15:$M$21</c:f>
              <c:numCache>
                <c:formatCode>General</c:formatCode>
                <c:ptCount val="7"/>
                <c:pt idx="0">
                  <c:v>1500</c:v>
                </c:pt>
                <c:pt idx="1">
                  <c:v>45</c:v>
                </c:pt>
                <c:pt idx="2">
                  <c:v>30</c:v>
                </c:pt>
                <c:pt idx="3">
                  <c:v>35</c:v>
                </c:pt>
                <c:pt idx="4">
                  <c:v>25</c:v>
                </c:pt>
                <c:pt idx="5">
                  <c:v>70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5F0-4726-A12D-8C50060B8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Subscriptions</a:t>
            </a:r>
            <a:r>
              <a:rPr lang="en-US" baseline="0"/>
              <a:t> structure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'12'!$R$14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D92-4B74-A39C-80FBE539F5AA}"/>
              </c:ext>
            </c:extLst>
          </c:dPt>
          <c:dPt>
            <c:idx val="1"/>
            <c:bubble3D val="0"/>
            <c:spPr>
              <a:solidFill>
                <a:schemeClr val="accent2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D92-4B74-A39C-80FBE539F5AA}"/>
              </c:ext>
            </c:extLst>
          </c:dPt>
          <c:dPt>
            <c:idx val="2"/>
            <c:bubble3D val="0"/>
            <c:spPr>
              <a:solidFill>
                <a:schemeClr val="accent2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D92-4B74-A39C-80FBE539F5AA}"/>
              </c:ext>
            </c:extLst>
          </c:dPt>
          <c:dPt>
            <c:idx val="3"/>
            <c:bubble3D val="0"/>
            <c:spPr>
              <a:solidFill>
                <a:schemeClr val="accent2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D92-4B74-A39C-80FBE539F5AA}"/>
              </c:ext>
            </c:extLst>
          </c:dPt>
          <c:dLbls>
            <c:dLbl>
              <c:idx val="0"/>
              <c:layout>
                <c:manualLayout>
                  <c:x val="0.17777777777777767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92-4B74-A39C-80FBE539F5AA}"/>
                </c:ext>
              </c:extLst>
            </c:dLbl>
            <c:dLbl>
              <c:idx val="1"/>
              <c:layout>
                <c:manualLayout>
                  <c:x val="0.33333333333333331"/>
                  <c:y val="3.24074074074074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92-4B74-A39C-80FBE539F5AA}"/>
                </c:ext>
              </c:extLst>
            </c:dLbl>
            <c:dLbl>
              <c:idx val="2"/>
              <c:layout>
                <c:manualLayout>
                  <c:x val="-0.16666666666666669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92-4B74-A39C-80FBE539F5AA}"/>
                </c:ext>
              </c:extLst>
            </c:dLbl>
            <c:dLbl>
              <c:idx val="3"/>
              <c:layout>
                <c:manualLayout>
                  <c:x val="-0.20555555555555552"/>
                  <c:y val="-5.55555555555555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92-4B74-A39C-80FBE539F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'12'!$P$15:$P$18</c:f>
              <c:strCache>
                <c:ptCount val="4"/>
                <c:pt idx="0">
                  <c:v>Netflix</c:v>
                </c:pt>
                <c:pt idx="1">
                  <c:v>Spotify</c:v>
                </c:pt>
                <c:pt idx="2">
                  <c:v>Audible</c:v>
                </c:pt>
                <c:pt idx="3">
                  <c:v>iCloud</c:v>
                </c:pt>
              </c:strCache>
            </c:strRef>
          </c:cat>
          <c:val>
            <c:numRef>
              <c:f>'12'!$R$15:$R$18</c:f>
              <c:numCache>
                <c:formatCode>General</c:formatCode>
                <c:ptCount val="4"/>
                <c:pt idx="0">
                  <c:v>33</c:v>
                </c:pt>
                <c:pt idx="1">
                  <c:v>12.99</c:v>
                </c:pt>
                <c:pt idx="2">
                  <c:v>42.69</c:v>
                </c:pt>
                <c:pt idx="3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92-4B74-A39C-80FBE539F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Savings structure</a:t>
            </a:r>
          </a:p>
        </c:rich>
      </c:tx>
      <c:layout>
        <c:manualLayout>
          <c:xMode val="edge"/>
          <c:yMode val="edge"/>
          <c:x val="0.3414166666666666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'12'!$V$14</c:f>
              <c:strCache>
                <c:ptCount val="1"/>
                <c:pt idx="0">
                  <c:v>Planned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3F-4FA1-9DB7-AB38FBD24A34}"/>
              </c:ext>
            </c:extLst>
          </c:dPt>
          <c:dPt>
            <c:idx val="1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3F-4FA1-9DB7-AB38FBD24A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3F-4FA1-9DB7-AB38FBD24A34}"/>
              </c:ext>
            </c:extLst>
          </c:dPt>
          <c:dPt>
            <c:idx val="3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3F-4FA1-9DB7-AB38FBD24A34}"/>
              </c:ext>
            </c:extLst>
          </c:dPt>
          <c:dPt>
            <c:idx val="4"/>
            <c:bubble3D val="0"/>
            <c:spPr>
              <a:solidFill>
                <a:schemeClr val="accent3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3F-4FA1-9DB7-AB38FBD24A34}"/>
              </c:ext>
            </c:extLst>
          </c:dPt>
          <c:dLbls>
            <c:dLbl>
              <c:idx val="0"/>
              <c:layout>
                <c:manualLayout>
                  <c:x val="0.1611111111111112"/>
                  <c:y val="-0.1250000000000000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23F-4FA1-9DB7-AB38FBD24A34}"/>
                </c:ext>
              </c:extLst>
            </c:dLbl>
            <c:dLbl>
              <c:idx val="1"/>
              <c:layout>
                <c:manualLayout>
                  <c:x val="0.20555555555555546"/>
                  <c:y val="6.018518518518518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23F-4FA1-9DB7-AB38FBD24A34}"/>
                </c:ext>
              </c:extLst>
            </c:dLbl>
            <c:dLbl>
              <c:idx val="2"/>
              <c:layout>
                <c:manualLayout>
                  <c:x val="0.19722222222222222"/>
                  <c:y val="8.796296296296296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3F-4FA1-9DB7-AB38FBD24A34}"/>
                </c:ext>
              </c:extLst>
            </c:dLbl>
            <c:dLbl>
              <c:idx val="3"/>
              <c:layout>
                <c:manualLayout>
                  <c:x val="-0.16967751704925832"/>
                  <c:y val="-0.203703339165937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6007990652028377"/>
                      <c:h val="0.1664585156022163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23F-4FA1-9DB7-AB38FBD24A34}"/>
                </c:ext>
              </c:extLst>
            </c:dLbl>
            <c:dLbl>
              <c:idx val="4"/>
              <c:layout>
                <c:manualLayout>
                  <c:x val="-0.13611111111111113"/>
                  <c:y val="-0.1203703703703703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23F-4FA1-9DB7-AB38FBD24A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'12'!$U$15:$U$19</c:f>
              <c:strCache>
                <c:ptCount val="5"/>
                <c:pt idx="0">
                  <c:v>Investments</c:v>
                </c:pt>
                <c:pt idx="1">
                  <c:v>Retirement</c:v>
                </c:pt>
                <c:pt idx="2">
                  <c:v>Travel</c:v>
                </c:pt>
                <c:pt idx="3">
                  <c:v>Appliances&amp;Furniture</c:v>
                </c:pt>
                <c:pt idx="4">
                  <c:v>Electronics</c:v>
                </c:pt>
              </c:strCache>
            </c:strRef>
          </c:cat>
          <c:val>
            <c:numRef>
              <c:f>'12'!$V$15:$V$19</c:f>
              <c:numCache>
                <c:formatCode>General</c:formatCode>
                <c:ptCount val="5"/>
                <c:pt idx="0">
                  <c:v>350</c:v>
                </c:pt>
                <c:pt idx="1">
                  <c:v>400</c:v>
                </c:pt>
                <c:pt idx="2">
                  <c:v>500</c:v>
                </c:pt>
                <c:pt idx="3">
                  <c:v>150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3F-4FA1-9DB7-AB38FBD24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8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4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7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0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3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4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8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4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5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4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7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5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0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6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6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6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7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Relationship Id="rId6" Type="http://schemas.openxmlformats.org/officeDocument/2006/relationships/chart" Target="../charts/chart48.xml"/><Relationship Id="rId5" Type="http://schemas.openxmlformats.org/officeDocument/2006/relationships/chart" Target="../charts/chart47.xml"/><Relationship Id="rId4" Type="http://schemas.openxmlformats.org/officeDocument/2006/relationships/chart" Target="../charts/chart4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5" Type="http://schemas.openxmlformats.org/officeDocument/2006/relationships/chart" Target="../charts/chart53.xml"/><Relationship Id="rId4" Type="http://schemas.openxmlformats.org/officeDocument/2006/relationships/chart" Target="../charts/chart5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6" Type="http://schemas.openxmlformats.org/officeDocument/2006/relationships/chart" Target="../charts/chart60.xml"/><Relationship Id="rId5" Type="http://schemas.openxmlformats.org/officeDocument/2006/relationships/chart" Target="../charts/chart59.xml"/><Relationship Id="rId4" Type="http://schemas.openxmlformats.org/officeDocument/2006/relationships/chart" Target="../charts/chart5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5" Type="http://schemas.openxmlformats.org/officeDocument/2006/relationships/chart" Target="../charts/chart65.xml"/><Relationship Id="rId4" Type="http://schemas.openxmlformats.org/officeDocument/2006/relationships/chart" Target="../charts/chart6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9.xml"/><Relationship Id="rId2" Type="http://schemas.openxmlformats.org/officeDocument/2006/relationships/chart" Target="../charts/chart68.xml"/><Relationship Id="rId1" Type="http://schemas.openxmlformats.org/officeDocument/2006/relationships/chart" Target="../charts/chart67.xml"/><Relationship Id="rId6" Type="http://schemas.openxmlformats.org/officeDocument/2006/relationships/chart" Target="../charts/chart72.xml"/><Relationship Id="rId5" Type="http://schemas.openxmlformats.org/officeDocument/2006/relationships/chart" Target="../charts/chart71.xml"/><Relationship Id="rId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36F10D-0A22-28FB-CFA3-F386AF0C6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DD26F06-75A7-5302-F513-A7784B341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FBAB4FC-E411-67CC-F0EE-738F84964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3478586-D54F-17A5-3747-6F9EC1F12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4AD8F87-0B63-6DFA-9083-62920F49B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CAD5169-F638-1E1E-FF11-F01DD52A3D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4CD35E-4A2B-4290-BE20-47CC53820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A2E4F-77A7-458F-BDB5-440701C70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DFC857-B80F-493B-AB12-8B6B5893C1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49BE3B-B3F0-41AF-A314-8651496965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5AF099-4A8D-47CF-936F-FF70470D0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91A2D5-4217-4DFD-839F-E0CA5B4C5B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862A0B-A4D9-46EE-9848-B44AAE4EF1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581ADD-8F25-4233-B7BF-D8CE641E7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2076BE-A219-4A87-B325-F90FA16BC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A76445-2780-44D2-9F39-A9F4FB615D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D0D014-121D-46B7-AA98-5BDFC25DD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07DF66-B8C6-42E4-ADB8-039C94A7B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D298FC-B387-4613-BF97-C6669872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8C4BC-A6D5-4E08-A877-DC266F19E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21D7C0-5304-41DC-ABD9-57C8EDACAF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B45688-6353-4430-B941-CD05E8EC1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5CFCD4-CCF5-4D55-A363-28EAC66F4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EA8DC77-DB82-4F9D-9036-A5B34D1E21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A8D5E3-9E5D-4CA9-9AA0-DD5812EDF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4D599C-4B8B-4F03-8A25-99E1AFB24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056B01-4318-42E8-8223-5CBA709AC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85A9E-E9DE-45CC-9F79-470B7DAD7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CF7603-184B-4C4E-A871-24452A9D9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230EB60-7D85-4E84-B56B-FC3A1C3B5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34512F-7FE7-45D9-8B1F-798E5C4BE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875D6F-61DD-4B81-9874-5B6AA959E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564E75-4E1D-4A9E-ACE3-EC335812B4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45C814-823D-4F5A-8E76-197CBD611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18D953-8260-4B82-87D3-712CCA0B59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E5E03A-0002-42B1-9A7E-3CB5A86601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950F0E-8D93-4557-B6A1-F0F63C8D04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81DBC8-BCFF-4DA4-9E0B-B2979601EE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AC813C-94F0-42F4-84D2-E8FE4B5C79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92A514-6CD4-4AD1-BB3B-E62E4AFD93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21D23F-F153-4187-9C20-E544B63E8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B1CED5D-7F7E-4510-83AB-EED1211BD7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A4C2EC-9398-41A0-899D-E2DA921B24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B46890-2E61-4A9A-B4ED-4D230A789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C21E4F-294F-484F-800A-80E723BB8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5DEFC0-BFD6-4135-B6AB-E7A8FAAD9C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F2BD49-131C-48F6-A65A-051C07C3F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8C25BC-C35F-45BC-A4F1-59ADB1DC6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DF4D0D-C63A-43DE-876D-F0F70C73A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E89B87-44FB-457E-9BA5-C3152EBCD1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908D59-F64C-4FF5-9702-954E19D87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601F4F-76E8-4ECB-B278-ACD16BF0D2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095A5B-D93E-4CDF-A90D-E1993E935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546F3B-29AA-4172-BC59-CF10FDBF9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1109F1-2FE1-4062-9F56-96F6350D0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5F38BE-70E6-4A53-AF25-C8C64036BA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5CC363-887E-4BB6-B0B5-43B391B070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8D666-DDC2-456F-8AED-F265BEEA8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E077EB-0701-4EFD-B001-BEDE96F170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739411C-4B30-4E22-8E43-17130F899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1CBB00-A12E-46DA-A317-7E3C31FC0F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CDE94B-28DC-49D3-9C07-31BFBD6EC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EDFB59-08AF-4714-9C53-461DD266A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5A6A0B-ED0D-4422-B22D-037A94E5B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CFC4C2-A31A-43A8-8ECD-312DDE417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8A5AD8-406C-47B2-B2AF-7162A87EF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371474</xdr:colOff>
      <xdr:row>0</xdr:row>
      <xdr:rowOff>47625</xdr:rowOff>
    </xdr:from>
    <xdr:to>
      <xdr:col>8</xdr:col>
      <xdr:colOff>761999</xdr:colOff>
      <xdr:row>11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7FE1AC-0584-4BEF-91BC-24010DADBD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119061</xdr:rowOff>
    </xdr:from>
    <xdr:to>
      <xdr:col>3</xdr:col>
      <xdr:colOff>500063</xdr:colOff>
      <xdr:row>41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A540CC-D55A-4995-8B7E-69DC5CA3E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583406</xdr:colOff>
      <xdr:row>27</xdr:row>
      <xdr:rowOff>138112</xdr:rowOff>
    </xdr:from>
    <xdr:to>
      <xdr:col>7</xdr:col>
      <xdr:colOff>542926</xdr:colOff>
      <xdr:row>42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86FABB-87BB-4989-993A-6ADA4C42C8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566737</xdr:colOff>
      <xdr:row>27</xdr:row>
      <xdr:rowOff>176212</xdr:rowOff>
    </xdr:from>
    <xdr:to>
      <xdr:col>12</xdr:col>
      <xdr:colOff>28575</xdr:colOff>
      <xdr:row>42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B3A209-A3CD-4068-8CF2-5162A9DA5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185737</xdr:colOff>
      <xdr:row>27</xdr:row>
      <xdr:rowOff>157162</xdr:rowOff>
    </xdr:from>
    <xdr:to>
      <xdr:col>17</xdr:col>
      <xdr:colOff>95250</xdr:colOff>
      <xdr:row>42</xdr:row>
      <xdr:rowOff>42862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0F4190-AB5E-4B40-9678-D0BD5B296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116682</xdr:colOff>
      <xdr:row>28</xdr:row>
      <xdr:rowOff>23812</xdr:rowOff>
    </xdr:from>
    <xdr:to>
      <xdr:col>22</xdr:col>
      <xdr:colOff>204788</xdr:colOff>
      <xdr:row>42</xdr:row>
      <xdr:rowOff>100012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A8A976-5E0B-460F-8A47-DCAB5C19A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76CECD-D08B-4FD8-8B17-CB25FFF439A3}" name="Income_1" displayName="Income_1" ref="A14:D25" totalsRowCount="1" headerRowDxfId="779" headerRowBorderDxfId="778" tableBorderDxfId="777" totalsRowBorderDxfId="776">
  <autoFilter ref="A14:D24" xr:uid="{3576CECD-D08B-4FD8-8B17-CB25FFF439A3}"/>
  <tableColumns count="4">
    <tableColumn id="1" xr3:uid="{DB45FF9F-9F9F-4141-A23F-ED6FED6731D7}" name="Source" totalsRowLabel="Total" dataDxfId="775" totalsRowDxfId="3"/>
    <tableColumn id="2" xr3:uid="{7B6A5A3D-DBAC-4EA4-AF13-529A5F83A8D4}" name="Planned" totalsRowFunction="sum" dataDxfId="774" totalsRowDxfId="2"/>
    <tableColumn id="3" xr3:uid="{7AF58220-6963-4A2D-A680-A02A8B988F91}" name="Actual" totalsRowFunction="sum" dataDxfId="773" totalsRowDxfId="1"/>
    <tableColumn id="4" xr3:uid="{60C839A8-B5C2-4C69-9E8C-BB70A082DB27}" name="Left" totalsRowFunction="sum" dataDxfId="77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8B116CE-31B6-45DF-A5E5-6F83DAC4414E}" name="Expences_1" displayName="Expences_1" ref="F14:I25" totalsRowCount="1" headerRowDxfId="771" headerRowBorderDxfId="770" tableBorderDxfId="769" totalsRowBorderDxfId="768">
  <autoFilter ref="F14:I24" xr:uid="{38B116CE-31B6-45DF-A5E5-6F83DAC4414E}"/>
  <tableColumns count="4">
    <tableColumn id="1" xr3:uid="{ECA25263-6A33-47CD-9CED-5DB1B56650A1}" name="Category" totalsRowLabel="Total" dataDxfId="767" totalsRowDxfId="722"/>
    <tableColumn id="2" xr3:uid="{3CF5C307-0DA7-4414-8352-DF3F67A52DDF}" name="Planned" totalsRowFunction="sum" dataDxfId="766" totalsRowDxfId="721" dataCellStyle="Currency"/>
    <tableColumn id="3" xr3:uid="{F72178FB-352A-4464-BFA0-6DFF1A7F664C}" name="Actual" totalsRowFunction="sum" dataDxfId="765" totalsRowDxfId="720"/>
    <tableColumn id="4" xr3:uid="{B2B3DDF9-6879-4316-BEF8-3C498D36A566}" name="Left" totalsRowFunction="sum" dataDxfId="764" totalsRowDxfId="7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CC700B2-B76E-4491-9483-1D89F694F63F}" name="Bills_1" displayName="Bills_1" ref="K14:N25" totalsRowCount="1" headerRowDxfId="763" headerRowBorderDxfId="762" tableBorderDxfId="761" totalsRowBorderDxfId="760">
  <autoFilter ref="K14:N24" xr:uid="{ECC700B2-B76E-4491-9483-1D89F694F63F}"/>
  <tableColumns count="4">
    <tableColumn id="1" xr3:uid="{8990D9C7-F554-4B4C-A192-8252002EF453}" name="Bill" totalsRowLabel="Total" dataDxfId="759" totalsRowDxfId="758"/>
    <tableColumn id="2" xr3:uid="{616B2417-E1FF-4FA0-8922-F272C1DAB2F2}" name="Due" dataDxfId="757" totalsRowDxfId="756"/>
    <tableColumn id="3" xr3:uid="{B0CCB303-5DA5-4F37-A315-B9DB73AEFF2F}" name="Planned" totalsRowFunction="sum" dataDxfId="755" totalsRowDxfId="754" dataCellStyle="Currency"/>
    <tableColumn id="4" xr3:uid="{70102AF6-5773-4EE9-9657-E64BCFE375C3}" name="Actual" totalsRowFunction="sum" dataDxfId="753" totalsRowDxfId="752" dataCellStyle="Currenc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FF32752-EBDA-4F8F-82CD-629DF8D15E9C}" name="Subscriptions_1" displayName="Subscriptions_1" ref="P14:S25" totalsRowCount="1" headerRowDxfId="751" headerRowBorderDxfId="750" tableBorderDxfId="749" totalsRowBorderDxfId="748">
  <autoFilter ref="P14:S24" xr:uid="{9FF32752-EBDA-4F8F-82CD-629DF8D15E9C}"/>
  <tableColumns count="4">
    <tableColumn id="1" xr3:uid="{3C02E8F0-13E9-424E-B7AF-D5724C34666B}" name="Subscription" totalsRowLabel="Total" dataDxfId="747" totalsRowDxfId="746"/>
    <tableColumn id="2" xr3:uid="{B70303BB-BF1D-4BE7-BFC5-2EAA1211CDC0}" name="Due" dataDxfId="745" totalsRowDxfId="744"/>
    <tableColumn id="3" xr3:uid="{8357E25C-717E-404A-A3DD-008AF29E6973}" name="Planned" totalsRowFunction="sum" dataDxfId="743" totalsRowDxfId="742"/>
    <tableColumn id="4" xr3:uid="{7D6BB139-278B-49C2-82FC-0965B46301A3}" name="Actual" totalsRowFunction="sum" dataDxfId="741" totalsRowDxfId="7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4E50FE7-83F4-4B53-A84C-5F88036A5021}" name="Savings_1" displayName="Savings_1" ref="U14:X25" totalsRowCount="1" headerRowDxfId="739" headerRowBorderDxfId="738" tableBorderDxfId="737" totalsRowBorderDxfId="736">
  <autoFilter ref="U14:X24" xr:uid="{44E50FE7-83F4-4B53-A84C-5F88036A5021}"/>
  <tableColumns count="4">
    <tableColumn id="1" xr3:uid="{CEDE4352-31FD-44C8-8C09-0DE9DDB90690}" name="Aim" totalsRowLabel="Total" dataDxfId="735" totalsRowDxfId="734"/>
    <tableColumn id="2" xr3:uid="{35773036-32C5-460E-B459-D0F4F4C7D93D}" name="Planned" totalsRowFunction="sum" dataDxfId="733" totalsRowDxfId="732"/>
    <tableColumn id="3" xr3:uid="{7A5FAE9F-793E-45AA-B99C-7D83BDAD79B4}" name="Actual" totalsRowFunction="sum" dataDxfId="731" totalsRowDxfId="730"/>
    <tableColumn id="4" xr3:uid="{3514E309-5672-4451-B01F-041F61E45C7A}" name="Left" totalsRowFunction="sum" dataDxfId="729" totalsRowDxfId="728">
      <calculatedColumnFormula>Savings_1[[#This Row],[Planned]]-Savings_1[[#This Row],[Actual]]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A04C4C-517E-4240-BEB8-A2D5FE930398}" name="Income_2" displayName="Income_2" ref="A14:D25" totalsRowCount="1" headerRowDxfId="713" headerRowBorderDxfId="711" tableBorderDxfId="712" totalsRowBorderDxfId="710">
  <autoFilter ref="A14:D24" xr:uid="{3576CECD-D08B-4FD8-8B17-CB25FFF439A3}"/>
  <tableColumns count="4">
    <tableColumn id="1" xr3:uid="{AEA104D8-64E0-4F9F-B602-673BEE269BA1}" name="Source" totalsRowLabel="Total" dataDxfId="708" totalsRowDxfId="709"/>
    <tableColumn id="2" xr3:uid="{7D0C5490-5F64-4FC4-9A94-DEA57AABAC4C}" name="Planned" totalsRowFunction="sum" dataDxfId="706" totalsRowDxfId="707"/>
    <tableColumn id="3" xr3:uid="{649511F1-A59F-42F0-9870-49477146419E}" name="Actual" totalsRowFunction="sum" dataDxfId="704" totalsRowDxfId="705"/>
    <tableColumn id="4" xr3:uid="{18F49125-00BD-4C41-B8F1-34CB82D13850}" name="Left" totalsRowFunction="sum" dataDxfId="702" totalsRowDxfId="70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7BB3B1-4723-4D79-B567-3BF363A769A6}" name="Expences_2" displayName="Expences_2" ref="F14:I25" totalsRowCount="1" headerRowDxfId="701" headerRowBorderDxfId="699" tableBorderDxfId="700" totalsRowBorderDxfId="698">
  <autoFilter ref="F14:I24" xr:uid="{38B116CE-31B6-45DF-A5E5-6F83DAC4414E}"/>
  <tableColumns count="4">
    <tableColumn id="1" xr3:uid="{B201BB81-F822-40B8-8388-5C7691EBCC0B}" name="Category" totalsRowLabel="Total" dataDxfId="696" totalsRowDxfId="697"/>
    <tableColumn id="2" xr3:uid="{2439A2C6-C15C-4C14-A4BD-E8EE8B0ACE0F}" name="Planned" totalsRowFunction="sum" dataDxfId="694" totalsRowDxfId="695" dataCellStyle="Currency"/>
    <tableColumn id="3" xr3:uid="{D50EECB3-EC80-41AF-9BD8-10613765E8AF}" name="Actual" totalsRowFunction="sum" dataDxfId="692" totalsRowDxfId="693"/>
    <tableColumn id="4" xr3:uid="{EC03774D-FA02-4B54-9281-4E7B2C6BB87A}" name="Left" totalsRowFunction="sum" dataDxfId="690" totalsRowDxfId="69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07CFD-2F7B-4243-87C6-346691046073}" name="Bills_2" displayName="Bills_2" ref="K14:N25" totalsRowCount="1" headerRowDxfId="689" headerRowBorderDxfId="687" tableBorderDxfId="688" totalsRowBorderDxfId="686">
  <autoFilter ref="K14:N24" xr:uid="{ECC700B2-B76E-4491-9483-1D89F694F63F}"/>
  <tableColumns count="4">
    <tableColumn id="1" xr3:uid="{B14B2515-A705-4A18-B8B7-5481585723C7}" name="Bill" totalsRowLabel="Total" dataDxfId="684" totalsRowDxfId="685"/>
    <tableColumn id="2" xr3:uid="{6D259CE4-593D-4C94-8958-326AC73504D5}" name="Due" dataDxfId="682" totalsRowDxfId="683"/>
    <tableColumn id="3" xr3:uid="{11348DA5-18DD-4166-BBC7-9884B7B04259}" name="Planned" totalsRowFunction="sum" dataDxfId="680" totalsRowDxfId="681" dataCellStyle="Currency"/>
    <tableColumn id="4" xr3:uid="{6E6CE967-BD2F-4169-9DDA-B923A8424D2F}" name="Actual" totalsRowFunction="sum" dataDxfId="678" totalsRowDxfId="679" dataCellStyle="Currency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36E4FA-92BF-49BF-AC3A-48CBBEE535A3}" name="Subscriptions_2" displayName="Subscriptions_2" ref="P14:S25" totalsRowCount="1" headerRowDxfId="677" headerRowBorderDxfId="675" tableBorderDxfId="676" totalsRowBorderDxfId="674">
  <autoFilter ref="P14:S24" xr:uid="{9FF32752-EBDA-4F8F-82CD-629DF8D15E9C}"/>
  <tableColumns count="4">
    <tableColumn id="1" xr3:uid="{7E9CC944-778C-46A0-A83F-643F7A8083CC}" name="Subscription" totalsRowLabel="Total" dataDxfId="672" totalsRowDxfId="673"/>
    <tableColumn id="2" xr3:uid="{CDE14E44-35D0-4811-9D74-93F6D3449E3F}" name="Due" dataDxfId="670" totalsRowDxfId="671"/>
    <tableColumn id="3" xr3:uid="{394B97F7-0610-4153-BFA0-0F4B02EA9AFC}" name="Planned" totalsRowFunction="sum" dataDxfId="668" totalsRowDxfId="669"/>
    <tableColumn id="4" xr3:uid="{2C53CFA2-05E1-4691-A08B-9B830B761D89}" name="Actual" totalsRowFunction="sum" dataDxfId="666" totalsRowDxfId="667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BEE8B95-B922-4EE3-BA8E-20C705C8AAC3}" name="Savings_2" displayName="Savings_2" ref="U14:X25" totalsRowCount="1" headerRowDxfId="665" headerRowBorderDxfId="663" tableBorderDxfId="664" totalsRowBorderDxfId="662">
  <autoFilter ref="U14:X24" xr:uid="{44E50FE7-83F4-4B53-A84C-5F88036A5021}"/>
  <tableColumns count="4">
    <tableColumn id="1" xr3:uid="{B55A089F-7FAB-41DD-8E31-2B59F7E16885}" name="Aim" totalsRowLabel="Total" dataDxfId="660" totalsRowDxfId="661"/>
    <tableColumn id="2" xr3:uid="{E9499573-69BE-464D-9695-71C9345E43B4}" name="Planned" totalsRowFunction="sum" dataDxfId="658" totalsRowDxfId="659"/>
    <tableColumn id="3" xr3:uid="{114CFB9A-29F6-4F43-8607-2F869CF18D7D}" name="Actual" totalsRowFunction="sum" dataDxfId="656" totalsRowDxfId="657"/>
    <tableColumn id="4" xr3:uid="{99482907-B9A6-432A-8FFE-CC950C9EE08E}" name="Left" totalsRowFunction="sum" dataDxfId="654" totalsRowDxfId="655">
      <calculatedColumnFormula>Savings_2[[#This Row],[Planned]]-Savings_2[[#This Row],[Actual]]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2609D2-4F46-40BD-8FCC-820F396EEB15}" name="Income_3" displayName="Income_3" ref="A14:D25" totalsRowCount="1" headerRowDxfId="648" headerRowBorderDxfId="646" tableBorderDxfId="647" totalsRowBorderDxfId="645">
  <autoFilter ref="A14:D24" xr:uid="{3576CECD-D08B-4FD8-8B17-CB25FFF439A3}"/>
  <tableColumns count="4">
    <tableColumn id="1" xr3:uid="{B19BCF56-27EE-4171-B6EC-681D1AF85085}" name="Source" totalsRowLabel="Total" dataDxfId="643" totalsRowDxfId="644"/>
    <tableColumn id="2" xr3:uid="{E35AFCF8-EAEF-4F5F-A29C-C6F164C60698}" name="Planned" totalsRowFunction="sum" dataDxfId="641" totalsRowDxfId="642"/>
    <tableColumn id="3" xr3:uid="{EA448204-9259-4E1A-A3AB-799C8D6B43D6}" name="Actual" totalsRowFunction="sum" dataDxfId="639" totalsRowDxfId="640"/>
    <tableColumn id="4" xr3:uid="{7170FCF6-F95E-4861-A7C7-1816EB443C74}" name="Left" totalsRowFunction="sum" dataDxfId="637" totalsRowDxfId="63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28EBF5-3019-4C80-9C64-12EF518B8847}" name="Expences_3" displayName="Expences_3" ref="F14:I25" totalsRowCount="1" headerRowDxfId="636" headerRowBorderDxfId="634" tableBorderDxfId="635" totalsRowBorderDxfId="633">
  <autoFilter ref="F14:I24" xr:uid="{38B116CE-31B6-45DF-A5E5-6F83DAC4414E}"/>
  <tableColumns count="4">
    <tableColumn id="1" xr3:uid="{8FB36827-F5A0-436C-B8AC-0330ED57A7BB}" name="Category" totalsRowLabel="Total" dataDxfId="631" totalsRowDxfId="632"/>
    <tableColumn id="2" xr3:uid="{ED373196-ADB5-4F48-B35A-3E69B7E15677}" name="Planned" totalsRowFunction="sum" dataDxfId="629" totalsRowDxfId="630" dataCellStyle="Currency"/>
    <tableColumn id="3" xr3:uid="{1C8D311B-A899-4CC7-8963-3B07F131C23E}" name="Actual" totalsRowFunction="sum" dataDxfId="627" totalsRowDxfId="628"/>
    <tableColumn id="4" xr3:uid="{7B7461F1-99A2-4212-A0BB-2B6A6C44A9B4}" name="Left" totalsRowFunction="sum" dataDxfId="625" totalsRowDxfId="62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A78F2D4-2F94-4ED1-B392-BB1F83EB5CBB}" name="Bills_3" displayName="Bills_3" ref="K14:N25" totalsRowCount="1" headerRowDxfId="624" headerRowBorderDxfId="622" tableBorderDxfId="623" totalsRowBorderDxfId="621">
  <autoFilter ref="K14:N24" xr:uid="{ECC700B2-B76E-4491-9483-1D89F694F63F}"/>
  <tableColumns count="4">
    <tableColumn id="1" xr3:uid="{AE25509D-ED9E-4D2A-A6F8-599B88E63D3B}" name="Bill" totalsRowLabel="Total" dataDxfId="619" totalsRowDxfId="620"/>
    <tableColumn id="2" xr3:uid="{F64C8E37-D8AD-41D3-A455-99B9E91BFB28}" name="Due" dataDxfId="617" totalsRowDxfId="618"/>
    <tableColumn id="3" xr3:uid="{589B4EB4-B035-4B90-A1ED-D6AA48D316A4}" name="Planned" totalsRowFunction="sum" dataDxfId="615" totalsRowDxfId="616" dataCellStyle="Currency"/>
    <tableColumn id="4" xr3:uid="{B7CA43BF-D0C9-4DB8-BA69-844C5117E0FB}" name="Actual" totalsRowFunction="sum" dataDxfId="613" totalsRowDxfId="614" dataCellStyle="Currency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7B6C650-3141-4EFC-A86B-139DF97EB8E9}" name="Subscriptions_3" displayName="Subscriptions_3" ref="P14:S25" totalsRowCount="1" headerRowDxfId="612" headerRowBorderDxfId="610" tableBorderDxfId="611" totalsRowBorderDxfId="609">
  <autoFilter ref="P14:S24" xr:uid="{9FF32752-EBDA-4F8F-82CD-629DF8D15E9C}"/>
  <tableColumns count="4">
    <tableColumn id="1" xr3:uid="{ADB91364-536C-4028-9FA1-F43C5B10A45F}" name="Subscription" totalsRowLabel="Total" dataDxfId="607" totalsRowDxfId="608"/>
    <tableColumn id="2" xr3:uid="{97BF5B5B-FBFC-4870-9681-162C0F51A56E}" name="Due" dataDxfId="605" totalsRowDxfId="606"/>
    <tableColumn id="3" xr3:uid="{B9CD1129-1330-45F3-963E-EB702B2F0FDB}" name="Planned" totalsRowFunction="sum" dataDxfId="603" totalsRowDxfId="604"/>
    <tableColumn id="4" xr3:uid="{D119F81F-F25F-4C70-A96A-47AD5EA4BB5C}" name="Actual" totalsRowFunction="sum" dataDxfId="601" totalsRowDxfId="602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DE556AA-0BDB-4DF3-A7FB-A1568B3A8473}" name="Savings_3" displayName="Savings_3" ref="U14:X25" totalsRowCount="1" headerRowDxfId="600" headerRowBorderDxfId="598" tableBorderDxfId="599" totalsRowBorderDxfId="597">
  <autoFilter ref="U14:X24" xr:uid="{44E50FE7-83F4-4B53-A84C-5F88036A5021}"/>
  <tableColumns count="4">
    <tableColumn id="1" xr3:uid="{75F13553-94B6-416C-BF3F-850A5ACC0B1B}" name="Aim" totalsRowLabel="Total" dataDxfId="595" totalsRowDxfId="596"/>
    <tableColumn id="2" xr3:uid="{175070D8-74F8-4D3C-A26D-9962114EFFF1}" name="Planned" totalsRowFunction="sum" dataDxfId="593" totalsRowDxfId="594"/>
    <tableColumn id="3" xr3:uid="{10F0553A-41AF-4CD7-8E6B-E170D25CD858}" name="Actual" totalsRowFunction="sum" dataDxfId="591" totalsRowDxfId="592"/>
    <tableColumn id="4" xr3:uid="{BB8A6BEE-71AD-45C9-BC7F-90157DF9E647}" name="Left" totalsRowFunction="sum" dataDxfId="589" totalsRowDxfId="590">
      <calculatedColumnFormula>Savings_3[[#This Row],[Planned]]-Savings_3[[#This Row],[Actual]]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CECD113-F4EA-448C-A878-DA162E7A6079}" name="Income_4" displayName="Income_4" ref="A14:D25" totalsRowCount="1" headerRowDxfId="583" headerRowBorderDxfId="581" tableBorderDxfId="582" totalsRowBorderDxfId="580">
  <autoFilter ref="A14:D24" xr:uid="{3576CECD-D08B-4FD8-8B17-CB25FFF439A3}"/>
  <tableColumns count="4">
    <tableColumn id="1" xr3:uid="{D83F5BFA-EF9E-4015-A7AD-1DF4971596D4}" name="Source" totalsRowLabel="Total" dataDxfId="578" totalsRowDxfId="579"/>
    <tableColumn id="2" xr3:uid="{B231D968-7CF6-4447-A963-03D2D9CBD196}" name="Planned" totalsRowFunction="sum" dataDxfId="576" totalsRowDxfId="577"/>
    <tableColumn id="3" xr3:uid="{B6A3457B-62B4-41C9-92AB-D256E2F91C73}" name="Actual" totalsRowFunction="sum" dataDxfId="574" totalsRowDxfId="575"/>
    <tableColumn id="4" xr3:uid="{5F004DFF-EDAC-423C-AF12-9633628C1C3B}" name="Left" totalsRowFunction="sum" dataDxfId="572" totalsRowDxfId="573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8701393-5AFA-4F15-8FD6-F63FE217CADC}" name="Expences_4" displayName="Expences_4" ref="F14:I25" totalsRowCount="1" headerRowDxfId="571" headerRowBorderDxfId="569" tableBorderDxfId="570" totalsRowBorderDxfId="568">
  <autoFilter ref="F14:I24" xr:uid="{38B116CE-31B6-45DF-A5E5-6F83DAC4414E}"/>
  <tableColumns count="4">
    <tableColumn id="1" xr3:uid="{1A355031-2FDF-40D0-AA80-3C2FD87153D0}" name="Category" totalsRowLabel="Total" dataDxfId="566" totalsRowDxfId="567"/>
    <tableColumn id="2" xr3:uid="{156115B4-A68C-4E46-B6A6-F4E2E6FC1A13}" name="Planned" totalsRowFunction="sum" dataDxfId="564" totalsRowDxfId="565" dataCellStyle="Currency"/>
    <tableColumn id="3" xr3:uid="{2BDE47E7-4737-4434-B8FF-FD786C922ABF}" name="Actual" totalsRowFunction="sum" dataDxfId="562" totalsRowDxfId="563"/>
    <tableColumn id="4" xr3:uid="{CF9A1826-BAFC-4B41-B0AA-B986C2164F9E}" name="Left" totalsRowFunction="sum" dataDxfId="560" totalsRowDxfId="561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B5DAC5B-0EA3-4FAA-8CAA-A09266C73B30}" name="Bills_4" displayName="Bills_4" ref="K14:N25" totalsRowCount="1" headerRowDxfId="559" headerRowBorderDxfId="557" tableBorderDxfId="558" totalsRowBorderDxfId="556">
  <autoFilter ref="K14:N24" xr:uid="{ECC700B2-B76E-4491-9483-1D89F694F63F}"/>
  <tableColumns count="4">
    <tableColumn id="1" xr3:uid="{6657BBCE-30F4-4ACC-98BC-7A3E88F54F61}" name="Bill" totalsRowLabel="Total" dataDxfId="554" totalsRowDxfId="555"/>
    <tableColumn id="2" xr3:uid="{BD6262CF-BFB3-4126-8261-6E4E5847B011}" name="Due" dataDxfId="552" totalsRowDxfId="553"/>
    <tableColumn id="3" xr3:uid="{E42ACAE6-A8D0-4482-B63A-9BEE78C066F8}" name="Planned" totalsRowFunction="sum" dataDxfId="550" totalsRowDxfId="551" dataCellStyle="Currency"/>
    <tableColumn id="4" xr3:uid="{71DCCE0A-5E88-4BE4-9108-FA79C4299673}" name="Actual" totalsRowFunction="sum" dataDxfId="548" totalsRowDxfId="549" dataCellStyle="Currency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7E96D3B-313C-49DF-826C-64C3BF77C6E3}" name="Subscriptions_4" displayName="Subscriptions_4" ref="P14:S25" totalsRowCount="1" headerRowDxfId="547" headerRowBorderDxfId="545" tableBorderDxfId="546" totalsRowBorderDxfId="544">
  <autoFilter ref="P14:S24" xr:uid="{9FF32752-EBDA-4F8F-82CD-629DF8D15E9C}"/>
  <tableColumns count="4">
    <tableColumn id="1" xr3:uid="{F73AF296-D40F-45AC-BCC2-6BA576107AB3}" name="Subscription" totalsRowLabel="Total" dataDxfId="542" totalsRowDxfId="543"/>
    <tableColumn id="2" xr3:uid="{22AD8D0D-2189-4777-95B7-59EC50846DE9}" name="Due" dataDxfId="540" totalsRowDxfId="541"/>
    <tableColumn id="3" xr3:uid="{E68DB9B7-2550-4584-BC92-0F9E8996794D}" name="Planned" totalsRowFunction="sum" dataDxfId="538" totalsRowDxfId="539"/>
    <tableColumn id="4" xr3:uid="{DE8A05B7-7E7A-4580-8F38-C5C6A9A1CA2C}" name="Actual" totalsRowFunction="sum" dataDxfId="536" totalsRowDxfId="537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10A0797-4970-4EB8-96ED-2FDDDE9BD3A5}" name="Savings_4" displayName="Savings_4" ref="U14:X25" totalsRowCount="1" headerRowDxfId="535" headerRowBorderDxfId="533" tableBorderDxfId="534" totalsRowBorderDxfId="532">
  <autoFilter ref="U14:X24" xr:uid="{44E50FE7-83F4-4B53-A84C-5F88036A5021}"/>
  <tableColumns count="4">
    <tableColumn id="1" xr3:uid="{D2F56E64-CD89-4CEC-B6CE-B0882CB24EC3}" name="Aim" totalsRowLabel="Total" dataDxfId="530" totalsRowDxfId="531"/>
    <tableColumn id="2" xr3:uid="{71445D68-2AAC-44DA-8192-7DADCCB3A384}" name="Planned" totalsRowFunction="sum" dataDxfId="528" totalsRowDxfId="529"/>
    <tableColumn id="3" xr3:uid="{BF2451F1-9C6F-42F2-A70D-F06DAE1F03A9}" name="Actual" totalsRowFunction="sum" dataDxfId="526" totalsRowDxfId="527"/>
    <tableColumn id="4" xr3:uid="{E812B25A-7987-42CF-B401-4666F08881D5}" name="Left" totalsRowFunction="sum" dataDxfId="524" totalsRowDxfId="525">
      <calculatedColumnFormula>Savings_4[[#This Row],[Planned]]-Savings_4[[#This Row],[Actual]]</calculatedColumnFormula>
    </tableColumn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AB153A9-C410-43A3-874D-DCD6B3FB4E89}" name="Income_5" displayName="Income_5" ref="A14:D25" totalsRowCount="1" headerRowDxfId="518" headerRowBorderDxfId="516" tableBorderDxfId="517" totalsRowBorderDxfId="515">
  <autoFilter ref="A14:D24" xr:uid="{3576CECD-D08B-4FD8-8B17-CB25FFF439A3}"/>
  <tableColumns count="4">
    <tableColumn id="1" xr3:uid="{FB1FF6A5-5620-47D0-952F-10761BBD3BB7}" name="Source" totalsRowLabel="Total" dataDxfId="513" totalsRowDxfId="514"/>
    <tableColumn id="2" xr3:uid="{BBC2F9CE-05DC-409F-9CEB-CE0BDC0D6AF5}" name="Planned" totalsRowFunction="sum" dataDxfId="511" totalsRowDxfId="512"/>
    <tableColumn id="3" xr3:uid="{5FBEEF8F-6B11-4622-B5EA-D46586B1477F}" name="Actual" totalsRowFunction="sum" dataDxfId="509" totalsRowDxfId="510"/>
    <tableColumn id="4" xr3:uid="{AB21FC48-5F40-4E6E-8AED-A4BBEA22F6CA}" name="Left" totalsRowFunction="sum" dataDxfId="507" totalsRowDxfId="508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FFB415-AD34-4F20-91BF-2189A70313A4}" name="Expences_5" displayName="Expences_5" ref="F14:I25" totalsRowCount="1" headerRowDxfId="506" headerRowBorderDxfId="504" tableBorderDxfId="505" totalsRowBorderDxfId="503">
  <autoFilter ref="F14:I24" xr:uid="{38B116CE-31B6-45DF-A5E5-6F83DAC4414E}"/>
  <tableColumns count="4">
    <tableColumn id="1" xr3:uid="{8E22BCB6-F425-4C52-8855-D04BC4BC5E37}" name="Category" totalsRowLabel="Total" dataDxfId="501" totalsRowDxfId="502"/>
    <tableColumn id="2" xr3:uid="{C1B7180D-DB5D-45FC-B721-4BDAA1B7B740}" name="Planned" totalsRowFunction="sum" dataDxfId="499" totalsRowDxfId="500" dataCellStyle="Currency"/>
    <tableColumn id="3" xr3:uid="{F18B0461-DE94-419C-8381-2B34369B3F94}" name="Actual" totalsRowFunction="sum" dataDxfId="497" totalsRowDxfId="498"/>
    <tableColumn id="4" xr3:uid="{F6404F0B-9B19-4C67-A8A1-6F90596E347D}" name="Left" totalsRowFunction="sum" dataDxfId="495" totalsRowDxfId="496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1C2787C-141D-4FD8-A84D-7EFFF0A4F06D}" name="Bills_5" displayName="Bills_5" ref="K14:N25" totalsRowCount="1" headerRowDxfId="494" headerRowBorderDxfId="492" tableBorderDxfId="493" totalsRowBorderDxfId="491">
  <autoFilter ref="K14:N24" xr:uid="{ECC700B2-B76E-4491-9483-1D89F694F63F}"/>
  <tableColumns count="4">
    <tableColumn id="1" xr3:uid="{9527C2AC-AC30-4F2E-BFCA-BF25765B58D8}" name="Bill" totalsRowLabel="Total" dataDxfId="489" totalsRowDxfId="490"/>
    <tableColumn id="2" xr3:uid="{2FE6DD62-17C8-4015-ABAD-08EFE3ABF402}" name="Due" dataDxfId="487" totalsRowDxfId="488"/>
    <tableColumn id="3" xr3:uid="{A04EF4D1-C405-478C-843A-469508B031F3}" name="Planned" totalsRowFunction="sum" dataDxfId="485" totalsRowDxfId="486" dataCellStyle="Currency"/>
    <tableColumn id="4" xr3:uid="{6826DBC6-1FA0-4938-A7C4-3E0EB245104A}" name="Actual" totalsRowFunction="sum" dataDxfId="483" totalsRowDxfId="484" dataCellStyle="Currency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CB3B0C1-2A7C-484A-8094-0ADCA68BC927}" name="Subscriptions_5" displayName="Subscriptions_5" ref="P14:S25" totalsRowCount="1" headerRowDxfId="482" headerRowBorderDxfId="480" tableBorderDxfId="481" totalsRowBorderDxfId="479">
  <autoFilter ref="P14:S24" xr:uid="{9FF32752-EBDA-4F8F-82CD-629DF8D15E9C}"/>
  <tableColumns count="4">
    <tableColumn id="1" xr3:uid="{72CC182C-64DE-404A-9CC9-D48195B8059B}" name="Subscription" totalsRowLabel="Total" dataDxfId="477" totalsRowDxfId="478"/>
    <tableColumn id="2" xr3:uid="{33004893-AE73-4212-A7CC-DCB5130E182A}" name="Due" dataDxfId="475" totalsRowDxfId="476"/>
    <tableColumn id="3" xr3:uid="{6FD979EC-786D-46A1-9729-191B69A5E682}" name="Planned" totalsRowFunction="sum" dataDxfId="473" totalsRowDxfId="474"/>
    <tableColumn id="4" xr3:uid="{61CB9E85-BE28-42B1-8DBB-96C0740C2D9D}" name="Actual" totalsRowFunction="sum" dataDxfId="471" totalsRowDxfId="472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3CD6051-58C8-4281-97A5-23636328A35D}" name="Savings_5" displayName="Savings_5" ref="U14:X25" totalsRowCount="1" headerRowDxfId="470" headerRowBorderDxfId="468" tableBorderDxfId="469" totalsRowBorderDxfId="467">
  <autoFilter ref="U14:X24" xr:uid="{44E50FE7-83F4-4B53-A84C-5F88036A5021}"/>
  <tableColumns count="4">
    <tableColumn id="1" xr3:uid="{AA238A08-3ECD-43C9-BE12-B3522EAEFF57}" name="Aim" totalsRowLabel="Total" dataDxfId="465" totalsRowDxfId="466"/>
    <tableColumn id="2" xr3:uid="{9994484A-99B6-470B-B9E3-F5ACAA69DDB1}" name="Planned" totalsRowFunction="sum" dataDxfId="463" totalsRowDxfId="464"/>
    <tableColumn id="3" xr3:uid="{6F8289F8-0F5A-41EA-B671-EAA3E12C0017}" name="Actual" totalsRowFunction="sum" dataDxfId="461" totalsRowDxfId="462"/>
    <tableColumn id="4" xr3:uid="{2D05629E-3757-4D16-8EA8-DE79677213E8}" name="Left" totalsRowFunction="sum" dataDxfId="459" totalsRowDxfId="460">
      <calculatedColumnFormula>Savings_5[[#This Row],[Planned]]-Savings_5[[#This Row],[Actual]]</calculatedColumnFormula>
    </tableColumn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215C536-0E7D-41A4-B17E-C86A2F5A4654}" name="Income_6" displayName="Income_6" ref="A14:D25" totalsRowCount="1" headerRowDxfId="453" headerRowBorderDxfId="451" tableBorderDxfId="452" totalsRowBorderDxfId="450">
  <autoFilter ref="A14:D24" xr:uid="{3576CECD-D08B-4FD8-8B17-CB25FFF439A3}"/>
  <tableColumns count="4">
    <tableColumn id="1" xr3:uid="{DDFB756E-630A-4009-975F-6F9266CAB48E}" name="Source" totalsRowLabel="Total" dataDxfId="448" totalsRowDxfId="449"/>
    <tableColumn id="2" xr3:uid="{5C48B0C3-97AF-4DA7-B45B-63A2B4CDD2A5}" name="Planned" totalsRowFunction="sum" dataDxfId="446" totalsRowDxfId="447"/>
    <tableColumn id="3" xr3:uid="{409C4833-AFF4-44EB-8774-15C637D4956A}" name="Actual" totalsRowFunction="sum" dataDxfId="444" totalsRowDxfId="445"/>
    <tableColumn id="4" xr3:uid="{7779E3A9-F1FE-45DC-860D-96EECD033F55}" name="Left" totalsRowFunction="sum" dataDxfId="442" totalsRowDxfId="443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AF4259-F9D9-4294-87E8-20B87B79B74C}" name="Expences_6" displayName="Expences_6" ref="F14:I25" totalsRowCount="1" headerRowDxfId="441" headerRowBorderDxfId="439" tableBorderDxfId="440" totalsRowBorderDxfId="438">
  <autoFilter ref="F14:I24" xr:uid="{38B116CE-31B6-45DF-A5E5-6F83DAC4414E}"/>
  <tableColumns count="4">
    <tableColumn id="1" xr3:uid="{AE776A44-52CB-48A3-95A7-001D054CDE2D}" name="Category" totalsRowLabel="Total" dataDxfId="436" totalsRowDxfId="437"/>
    <tableColumn id="2" xr3:uid="{5913BA4D-3A22-486E-8CC4-1D66B0DA8FCF}" name="Planned" totalsRowFunction="sum" dataDxfId="434" totalsRowDxfId="435" dataCellStyle="Currency"/>
    <tableColumn id="3" xr3:uid="{E59CF12F-8FEA-48C4-A0F8-6B7E3F2404A6}" name="Actual" totalsRowFunction="sum" dataDxfId="432" totalsRowDxfId="433"/>
    <tableColumn id="4" xr3:uid="{D9319E14-D71F-42D0-8087-67B73A7BADBB}" name="Left" totalsRowFunction="sum" dataDxfId="430" totalsRowDxfId="431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F666A11-CEE6-4006-AC0F-300133625711}" name="Bills_6" displayName="Bills_6" ref="K14:N25" totalsRowCount="1" headerRowDxfId="429" headerRowBorderDxfId="427" tableBorderDxfId="428" totalsRowBorderDxfId="426">
  <autoFilter ref="K14:N24" xr:uid="{ECC700B2-B76E-4491-9483-1D89F694F63F}"/>
  <tableColumns count="4">
    <tableColumn id="1" xr3:uid="{C789E9D8-341C-44C6-BA2D-7013014640E5}" name="Bill" totalsRowLabel="Total" dataDxfId="424" totalsRowDxfId="425"/>
    <tableColumn id="2" xr3:uid="{4A7F11F9-5660-4AE1-A46B-3E86F7F014D1}" name="Due" dataDxfId="422" totalsRowDxfId="423"/>
    <tableColumn id="3" xr3:uid="{A3856AD7-634A-4398-B59E-0C2001AB5F5D}" name="Planned" totalsRowFunction="sum" dataDxfId="420" totalsRowDxfId="421" dataCellStyle="Currency"/>
    <tableColumn id="4" xr3:uid="{4D45D2CA-9F1A-4265-B635-1A4FFC713128}" name="Actual" totalsRowFunction="sum" dataDxfId="418" totalsRowDxfId="419" dataCellStyle="Currency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0462FF0-7A93-494B-A0EE-67A53C6445C0}" name="Subscriptions_6" displayName="Subscriptions_6" ref="P14:S25" totalsRowCount="1" headerRowDxfId="417" headerRowBorderDxfId="415" tableBorderDxfId="416" totalsRowBorderDxfId="414">
  <autoFilter ref="P14:S24" xr:uid="{9FF32752-EBDA-4F8F-82CD-629DF8D15E9C}"/>
  <tableColumns count="4">
    <tableColumn id="1" xr3:uid="{FB351E4E-5B35-4294-8B19-1F4ED7D60AEB}" name="Subscription" totalsRowLabel="Total" dataDxfId="412" totalsRowDxfId="413"/>
    <tableColumn id="2" xr3:uid="{5E91EF87-6EE9-4D1D-BE9B-A5DF61EE5913}" name="Due" dataDxfId="410" totalsRowDxfId="411"/>
    <tableColumn id="3" xr3:uid="{0C613E21-7419-4CDB-A925-A65A6A2CA1A1}" name="Planned" totalsRowFunction="sum" dataDxfId="408" totalsRowDxfId="409"/>
    <tableColumn id="4" xr3:uid="{555CC98C-FA95-43A6-9968-E44F0F1A0145}" name="Actual" totalsRowFunction="sum" dataDxfId="406" totalsRowDxfId="407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9E810A4-8346-4D3A-A6A5-42299C0C715E}" name="Savings_6" displayName="Savings_6" ref="U14:X25" totalsRowCount="1" headerRowDxfId="405" headerRowBorderDxfId="403" tableBorderDxfId="404" totalsRowBorderDxfId="402">
  <autoFilter ref="U14:X24" xr:uid="{44E50FE7-83F4-4B53-A84C-5F88036A5021}"/>
  <tableColumns count="4">
    <tableColumn id="1" xr3:uid="{9517766E-2D42-4AC4-9189-47AB0FBE6AC2}" name="Aim" totalsRowLabel="Total" dataDxfId="400" totalsRowDxfId="401"/>
    <tableColumn id="2" xr3:uid="{437ECC66-7565-44B3-818A-4534471950D6}" name="Planned" totalsRowFunction="sum" dataDxfId="398" totalsRowDxfId="399"/>
    <tableColumn id="3" xr3:uid="{EE0333BE-EF56-4363-85EE-37A7A7C0474E}" name="Actual" totalsRowFunction="sum" dataDxfId="396" totalsRowDxfId="397"/>
    <tableColumn id="4" xr3:uid="{710DF9DD-D197-4FF7-8D31-C3037FE4B5A3}" name="Left" totalsRowFunction="sum" dataDxfId="394" totalsRowDxfId="395">
      <calculatedColumnFormula>Savings_6[[#This Row],[Planned]]-Savings_6[[#This Row],[Actual]]</calculatedColumnFormula>
    </tableColumn>
  </tableColumns>
  <tableStyleInfo name="TableStyleLight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39C1FED-621D-446D-AF29-34476F737652}" name="Income_7" displayName="Income_7" ref="A14:D25" totalsRowCount="1" headerRowDxfId="388" headerRowBorderDxfId="386" tableBorderDxfId="387" totalsRowBorderDxfId="385">
  <autoFilter ref="A14:D24" xr:uid="{3576CECD-D08B-4FD8-8B17-CB25FFF439A3}"/>
  <tableColumns count="4">
    <tableColumn id="1" xr3:uid="{3052EF2C-4086-48B9-92DE-9A4D1AFE07F4}" name="Source" totalsRowLabel="Total" dataDxfId="383" totalsRowDxfId="384"/>
    <tableColumn id="2" xr3:uid="{1567AF80-70BA-44BC-945C-EE730EF78E8A}" name="Planned" totalsRowFunction="sum" dataDxfId="381" totalsRowDxfId="382"/>
    <tableColumn id="3" xr3:uid="{F4415E69-FDCE-42BD-997E-88838C507160}" name="Actual" totalsRowFunction="sum" dataDxfId="379" totalsRowDxfId="380"/>
    <tableColumn id="4" xr3:uid="{94C45DE6-A20F-4DF8-A692-3F8AF6C88007}" name="Left" totalsRowFunction="sum" dataDxfId="377" totalsRowDxfId="378"/>
  </tableColumns>
  <tableStyleInfo name="TableStyleLight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1ECF0CB-B146-4D33-B460-BE8277481497}" name="Expences_7" displayName="Expences_7" ref="F14:I25" totalsRowCount="1" headerRowDxfId="376" headerRowBorderDxfId="374" tableBorderDxfId="375" totalsRowBorderDxfId="373">
  <autoFilter ref="F14:I24" xr:uid="{38B116CE-31B6-45DF-A5E5-6F83DAC4414E}"/>
  <tableColumns count="4">
    <tableColumn id="1" xr3:uid="{18295019-FA65-466F-B903-0C17472AF972}" name="Category" totalsRowLabel="Total" dataDxfId="371" totalsRowDxfId="372"/>
    <tableColumn id="2" xr3:uid="{3310637C-93B4-4CDA-A05D-0EF13BA12095}" name="Planned" totalsRowFunction="sum" dataDxfId="369" totalsRowDxfId="370" dataCellStyle="Currency"/>
    <tableColumn id="3" xr3:uid="{EB739ECB-750A-4414-8D67-59D1FC90BF68}" name="Actual" totalsRowFunction="sum" dataDxfId="367" totalsRowDxfId="368"/>
    <tableColumn id="4" xr3:uid="{FB2635CB-5BA4-43D6-8550-F7E452B6AD1D}" name="Left" totalsRowFunction="sum" dataDxfId="365" totalsRowDxfId="366"/>
  </tableColumns>
  <tableStyleInfo name="TableStyleLight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B454E7B-F457-4C9A-8559-6188BB17B2B9}" name="Bills_7" displayName="Bills_7" ref="K14:N25" totalsRowCount="1" headerRowDxfId="364" headerRowBorderDxfId="362" tableBorderDxfId="363" totalsRowBorderDxfId="361">
  <autoFilter ref="K14:N24" xr:uid="{ECC700B2-B76E-4491-9483-1D89F694F63F}"/>
  <tableColumns count="4">
    <tableColumn id="1" xr3:uid="{6641919E-4C8A-4936-9487-4CFCC4FE1265}" name="Bill" totalsRowLabel="Total" dataDxfId="359" totalsRowDxfId="360"/>
    <tableColumn id="2" xr3:uid="{4797B70B-5CF5-4E55-A929-6DFAD90C04BE}" name="Due" dataDxfId="357" totalsRowDxfId="358"/>
    <tableColumn id="3" xr3:uid="{663E7C60-136B-4434-97F5-ADF890CF48B1}" name="Planned" totalsRowFunction="sum" dataDxfId="355" totalsRowDxfId="356" dataCellStyle="Currency"/>
    <tableColumn id="4" xr3:uid="{6E7F8A6C-6E93-48E5-BD5B-2D16AC82CBC0}" name="Actual" totalsRowFunction="sum" dataDxfId="353" totalsRowDxfId="354" dataCellStyle="Currency"/>
  </tableColumns>
  <tableStyleInfo name="TableStyleLight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45A14DE-24AB-4729-B089-D73DFDC7F444}" name="Subscriptions_7" displayName="Subscriptions_7" ref="P14:S25" totalsRowCount="1" headerRowDxfId="352" headerRowBorderDxfId="350" tableBorderDxfId="351" totalsRowBorderDxfId="349">
  <autoFilter ref="P14:S24" xr:uid="{9FF32752-EBDA-4F8F-82CD-629DF8D15E9C}"/>
  <tableColumns count="4">
    <tableColumn id="1" xr3:uid="{4D453A6E-0761-455F-9E19-1D3808E61BFD}" name="Subscription" totalsRowLabel="Total" dataDxfId="347" totalsRowDxfId="348"/>
    <tableColumn id="2" xr3:uid="{F7475F94-ABDA-453A-A903-B55218F898B0}" name="Due" dataDxfId="345" totalsRowDxfId="346"/>
    <tableColumn id="3" xr3:uid="{0E1DFC35-2AB6-40CA-A3EE-D5C631A08DF5}" name="Planned" totalsRowFunction="sum" dataDxfId="343" totalsRowDxfId="344"/>
    <tableColumn id="4" xr3:uid="{7AD7D9DA-3C5A-4442-A698-95F330AED5ED}" name="Actual" totalsRowFunction="sum" dataDxfId="341" totalsRowDxfId="342"/>
  </tableColumns>
  <tableStyleInfo name="TableStyleLight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6369FBA-822D-455C-B695-41BA8E61F884}" name="Savings_7" displayName="Savings_7" ref="U14:X25" totalsRowCount="1" headerRowDxfId="340" headerRowBorderDxfId="338" tableBorderDxfId="339" totalsRowBorderDxfId="337">
  <autoFilter ref="U14:X24" xr:uid="{44E50FE7-83F4-4B53-A84C-5F88036A5021}"/>
  <tableColumns count="4">
    <tableColumn id="1" xr3:uid="{AA8797AD-6FD8-4B0E-A8E1-8C9486AB4A33}" name="Aim" totalsRowLabel="Total" dataDxfId="335" totalsRowDxfId="336"/>
    <tableColumn id="2" xr3:uid="{17073022-DE0C-4296-A5C1-2879FD547EBB}" name="Planned" totalsRowFunction="sum" dataDxfId="333" totalsRowDxfId="334"/>
    <tableColumn id="3" xr3:uid="{F76B4A6A-343B-45DD-97CB-55E19D2C3FEA}" name="Actual" totalsRowFunction="sum" dataDxfId="331" totalsRowDxfId="332"/>
    <tableColumn id="4" xr3:uid="{4AADDF28-7A1D-4A39-8710-ED934BF91AE5}" name="Left" totalsRowFunction="sum" dataDxfId="329" totalsRowDxfId="330">
      <calculatedColumnFormula>Savings_7[[#This Row],[Planned]]-Savings_7[[#This Row],[Actual]]</calculatedColumnFormula>
    </tableColumn>
  </tableColumns>
  <tableStyleInfo name="TableStyleLight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A128C705-EC06-47B9-BFE6-11DC7342D43B}" name="Income_8" displayName="Income_8" ref="A14:D25" totalsRowCount="1" headerRowDxfId="323" headerRowBorderDxfId="321" tableBorderDxfId="322" totalsRowBorderDxfId="320">
  <autoFilter ref="A14:D24" xr:uid="{3576CECD-D08B-4FD8-8B17-CB25FFF439A3}"/>
  <tableColumns count="4">
    <tableColumn id="1" xr3:uid="{285DE157-64B0-40DE-8BD1-764D27E55C8E}" name="Source" totalsRowLabel="Total" dataDxfId="318" totalsRowDxfId="319"/>
    <tableColumn id="2" xr3:uid="{CBC942BB-EEC9-4363-886E-664474293914}" name="Planned" totalsRowFunction="sum" dataDxfId="316" totalsRowDxfId="317"/>
    <tableColumn id="3" xr3:uid="{9302F3FF-8BBA-4007-AC1A-6112FD2B102B}" name="Actual" totalsRowFunction="sum" dataDxfId="314" totalsRowDxfId="315"/>
    <tableColumn id="4" xr3:uid="{701B7B12-FF10-436B-B96C-64034753FA62}" name="Left" totalsRowFunction="sum" dataDxfId="312" totalsRowDxfId="313"/>
  </tableColumns>
  <tableStyleInfo name="TableStyleLight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A035E7E-69C2-4486-B99F-669B43F41050}" name="Expences_8" displayName="Expences_8" ref="F14:I25" totalsRowCount="1" headerRowDxfId="311" headerRowBorderDxfId="309" tableBorderDxfId="310" totalsRowBorderDxfId="308">
  <autoFilter ref="F14:I24" xr:uid="{38B116CE-31B6-45DF-A5E5-6F83DAC4414E}"/>
  <tableColumns count="4">
    <tableColumn id="1" xr3:uid="{1516AFA4-4D2C-4C0C-B85A-77DC0D176137}" name="Category" totalsRowLabel="Total" dataDxfId="306" totalsRowDxfId="307"/>
    <tableColumn id="2" xr3:uid="{2A730C9D-9F6F-4A17-BC8A-F1319A5671A4}" name="Planned" totalsRowFunction="sum" dataDxfId="304" totalsRowDxfId="305" dataCellStyle="Currency"/>
    <tableColumn id="3" xr3:uid="{81D2B0A8-BD4A-4FEC-B3C9-324CDB2DFD91}" name="Actual" totalsRowFunction="sum" dataDxfId="302" totalsRowDxfId="303"/>
    <tableColumn id="4" xr3:uid="{C3229787-7B56-4E66-A1D1-3A066E660FDE}" name="Left" totalsRowFunction="sum" dataDxfId="300" totalsRowDxfId="301"/>
  </tableColumns>
  <tableStyleInfo name="TableStyleLight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2D8C6609-FCEA-40AF-A10B-E38AB6EEFC71}" name="Bills_8" displayName="Bills_8" ref="K14:N25" totalsRowCount="1" headerRowDxfId="299" headerRowBorderDxfId="297" tableBorderDxfId="298" totalsRowBorderDxfId="296">
  <autoFilter ref="K14:N24" xr:uid="{ECC700B2-B76E-4491-9483-1D89F694F63F}"/>
  <tableColumns count="4">
    <tableColumn id="1" xr3:uid="{80B3F020-F4BA-4FA7-AD1E-5F51EAAB3340}" name="Bill" totalsRowLabel="Total" dataDxfId="294" totalsRowDxfId="295"/>
    <tableColumn id="2" xr3:uid="{70B755E9-F18A-4DF0-92A6-4F25DAF9E1FF}" name="Due" dataDxfId="292" totalsRowDxfId="293"/>
    <tableColumn id="3" xr3:uid="{42DED25F-5D25-4965-BBCB-A07AE9324947}" name="Planned" totalsRowFunction="sum" dataDxfId="290" totalsRowDxfId="291" dataCellStyle="Currency"/>
    <tableColumn id="4" xr3:uid="{61371843-2AC6-404A-8DAB-2E7ADD3587F6}" name="Actual" totalsRowFunction="sum" dataDxfId="288" totalsRowDxfId="289" dataCellStyle="Currency"/>
  </tableColumns>
  <tableStyleInfo name="TableStyleLight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9FE4131D-FEC9-4683-9BB1-C3E425105996}" name="Subscriptions_8" displayName="Subscriptions_8" ref="P14:S25" totalsRowCount="1" headerRowDxfId="287" headerRowBorderDxfId="285" tableBorderDxfId="286" totalsRowBorderDxfId="284">
  <autoFilter ref="P14:S24" xr:uid="{9FF32752-EBDA-4F8F-82CD-629DF8D15E9C}"/>
  <tableColumns count="4">
    <tableColumn id="1" xr3:uid="{F5424159-B436-4235-8A7A-7EE36C59C252}" name="Subscription" totalsRowLabel="Total" dataDxfId="282" totalsRowDxfId="283"/>
    <tableColumn id="2" xr3:uid="{744C3AFA-F8AC-43B7-AEF0-09CC4D0CFDBC}" name="Due" dataDxfId="280" totalsRowDxfId="281"/>
    <tableColumn id="3" xr3:uid="{00A46E10-0282-4554-8B0E-EAD887DF6576}" name="Planned" totalsRowFunction="sum" dataDxfId="278" totalsRowDxfId="279"/>
    <tableColumn id="4" xr3:uid="{16833E36-E83F-482B-A48E-F985097F5D74}" name="Actual" totalsRowFunction="sum" dataDxfId="276" totalsRowDxfId="277"/>
  </tableColumns>
  <tableStyleInfo name="TableStyleLight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7FA2A888-6F07-457A-9A32-DBCBFF5E5874}" name="Savings_8" displayName="Savings_8" ref="U14:X25" totalsRowCount="1" headerRowDxfId="275" headerRowBorderDxfId="273" tableBorderDxfId="274" totalsRowBorderDxfId="272">
  <autoFilter ref="U14:X24" xr:uid="{44E50FE7-83F4-4B53-A84C-5F88036A5021}"/>
  <tableColumns count="4">
    <tableColumn id="1" xr3:uid="{442206CE-BAFF-44CB-BE8D-ACD17D27F552}" name="Aim" totalsRowLabel="Total" dataDxfId="270" totalsRowDxfId="271"/>
    <tableColumn id="2" xr3:uid="{14FC8CD9-420A-4AA9-A9E1-E55ABA71F318}" name="Planned" totalsRowFunction="sum" dataDxfId="268" totalsRowDxfId="269"/>
    <tableColumn id="3" xr3:uid="{BA8C17D8-257E-4EA4-A113-0B31E3501204}" name="Actual" totalsRowFunction="sum" dataDxfId="266" totalsRowDxfId="267"/>
    <tableColumn id="4" xr3:uid="{E9B4968A-BD24-4F90-A37A-E53CE7800088}" name="Left" totalsRowFunction="sum" dataDxfId="264" totalsRowDxfId="265">
      <calculatedColumnFormula>Savings_8[[#This Row],[Planned]]-Savings_8[[#This Row],[Actual]]</calculatedColumnFormula>
    </tableColumn>
  </tableColumns>
  <tableStyleInfo name="TableStyleLight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5EE9F22-EA21-470E-866D-06331B1E3850}" name="Income_9" displayName="Income_9" ref="A14:D25" totalsRowCount="1" headerRowDxfId="258" headerRowBorderDxfId="256" tableBorderDxfId="257" totalsRowBorderDxfId="255">
  <autoFilter ref="A14:D24" xr:uid="{3576CECD-D08B-4FD8-8B17-CB25FFF439A3}"/>
  <tableColumns count="4">
    <tableColumn id="1" xr3:uid="{71923CCC-94EC-4B77-9C1E-782AF950DE95}" name="Source" totalsRowLabel="Total" dataDxfId="253" totalsRowDxfId="254"/>
    <tableColumn id="2" xr3:uid="{A86BB3E7-A659-4234-8313-01AC25418C89}" name="Planned" totalsRowFunction="sum" dataDxfId="251" totalsRowDxfId="252"/>
    <tableColumn id="3" xr3:uid="{6825CF08-BD51-456F-9B89-24EE6B45B7D5}" name="Actual" totalsRowFunction="sum" dataDxfId="249" totalsRowDxfId="250"/>
    <tableColumn id="4" xr3:uid="{24F47560-9F48-4859-905F-D70B070F5DE3}" name="Left" totalsRowFunction="sum" dataDxfId="247" totalsRowDxfId="248"/>
  </tableColumns>
  <tableStyleInfo name="TableStyleLight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97C2358-CD01-422A-9AC3-E9BAB7726AD3}" name="Expences_9" displayName="Expences_9" ref="F14:I25" totalsRowCount="1" headerRowDxfId="246" headerRowBorderDxfId="244" tableBorderDxfId="245" totalsRowBorderDxfId="243">
  <autoFilter ref="F14:I24" xr:uid="{38B116CE-31B6-45DF-A5E5-6F83DAC4414E}"/>
  <tableColumns count="4">
    <tableColumn id="1" xr3:uid="{2C3EC8BD-83CE-459A-B93A-39341EEBAA91}" name="Category" totalsRowLabel="Total" dataDxfId="241" totalsRowDxfId="242"/>
    <tableColumn id="2" xr3:uid="{78FE21D8-3F31-42E1-9F6D-272A3DBD6439}" name="Planned" totalsRowFunction="sum" dataDxfId="239" totalsRowDxfId="240" dataCellStyle="Currency"/>
    <tableColumn id="3" xr3:uid="{3B53091F-F054-43DC-AB4C-BF03F36B6CAB}" name="Actual" totalsRowFunction="sum" dataDxfId="237" totalsRowDxfId="238"/>
    <tableColumn id="4" xr3:uid="{1BFE43B2-B648-466D-8B73-3926FE113665}" name="Left" totalsRowFunction="sum" dataDxfId="235" totalsRowDxfId="236"/>
  </tableColumns>
  <tableStyleInfo name="TableStyleLight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F5307A1-EE21-45B8-8F85-5DDFC84ED9FC}" name="Bills_9" displayName="Bills_9" ref="K14:N25" totalsRowCount="1" headerRowDxfId="234" headerRowBorderDxfId="232" tableBorderDxfId="233" totalsRowBorderDxfId="231">
  <autoFilter ref="K14:N24" xr:uid="{ECC700B2-B76E-4491-9483-1D89F694F63F}"/>
  <tableColumns count="4">
    <tableColumn id="1" xr3:uid="{B810916D-2CAE-48E0-BEE3-CC86E13B210A}" name="Bill" totalsRowLabel="Total" dataDxfId="229" totalsRowDxfId="230"/>
    <tableColumn id="2" xr3:uid="{6460415C-AAC3-46DC-A25F-9C13130D6EF3}" name="Due" dataDxfId="227" totalsRowDxfId="228"/>
    <tableColumn id="3" xr3:uid="{DAC44282-569D-4CE5-8C22-7403DABCA5E3}" name="Planned" totalsRowFunction="sum" dataDxfId="225" totalsRowDxfId="226" dataCellStyle="Currency"/>
    <tableColumn id="4" xr3:uid="{0A98F840-480D-4E9B-BF07-5F657890CF86}" name="Actual" totalsRowFunction="sum" dataDxfId="223" totalsRowDxfId="224" dataCellStyle="Currency"/>
  </tableColumns>
  <tableStyleInfo name="TableStyleLight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C894E72-F826-4B84-BD52-4F7B06B06D22}" name="Subscriptions_9" displayName="Subscriptions_9" ref="P14:S25" totalsRowCount="1" headerRowDxfId="222" headerRowBorderDxfId="220" tableBorderDxfId="221" totalsRowBorderDxfId="219">
  <autoFilter ref="P14:S24" xr:uid="{9FF32752-EBDA-4F8F-82CD-629DF8D15E9C}"/>
  <tableColumns count="4">
    <tableColumn id="1" xr3:uid="{2652F3E4-EBBE-4273-B95F-EBE8FB2614B0}" name="Subscription" totalsRowLabel="Total" dataDxfId="217" totalsRowDxfId="218"/>
    <tableColumn id="2" xr3:uid="{9BF7EFE3-6E4C-4495-B4EC-96164406D710}" name="Due" dataDxfId="215" totalsRowDxfId="216"/>
    <tableColumn id="3" xr3:uid="{21A526D8-BDD6-4797-AC09-6CCF24110A2F}" name="Planned" totalsRowFunction="sum" dataDxfId="213" totalsRowDxfId="214"/>
    <tableColumn id="4" xr3:uid="{82674D46-8852-42FB-9975-0F3C356BE23A}" name="Actual" totalsRowFunction="sum" dataDxfId="211" totalsRowDxfId="212"/>
  </tableColumns>
  <tableStyleInfo name="TableStyleLight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5EFF1D6B-855A-404E-8678-3E6B6E7FCCFC}" name="Savings_9" displayName="Savings_9" ref="U14:X25" totalsRowCount="1" headerRowDxfId="210" headerRowBorderDxfId="208" tableBorderDxfId="209" totalsRowBorderDxfId="207">
  <autoFilter ref="U14:X24" xr:uid="{44E50FE7-83F4-4B53-A84C-5F88036A5021}"/>
  <tableColumns count="4">
    <tableColumn id="1" xr3:uid="{BCBB961F-77A7-4FEF-BD3A-B0956676CFC8}" name="Aim" totalsRowLabel="Total" dataDxfId="205" totalsRowDxfId="206"/>
    <tableColumn id="2" xr3:uid="{10BCD909-5C24-4822-BA86-AAD29029A88A}" name="Planned" totalsRowFunction="sum" dataDxfId="203" totalsRowDxfId="204"/>
    <tableColumn id="3" xr3:uid="{8276D73D-E477-4A2D-8ABC-960624CBC823}" name="Actual" totalsRowFunction="sum" dataDxfId="201" totalsRowDxfId="202"/>
    <tableColumn id="4" xr3:uid="{0127D357-2DB1-4DF3-A9BC-C06D505BE539}" name="Left" totalsRowFunction="sum" dataDxfId="199" totalsRowDxfId="200">
      <calculatedColumnFormula>Savings_9[[#This Row],[Planned]]-Savings_9[[#This Row],[Actual]]</calculatedColumnFormula>
    </tableColumn>
  </tableColumns>
  <tableStyleInfo name="TableStyleLight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5E78088-02F6-4B49-8C7E-850EF4CE0328}" name="Income_10" displayName="Income_10" ref="A14:D25" totalsRowCount="1" headerRowDxfId="193" headerRowBorderDxfId="191" tableBorderDxfId="192" totalsRowBorderDxfId="190">
  <autoFilter ref="A14:D24" xr:uid="{3576CECD-D08B-4FD8-8B17-CB25FFF439A3}"/>
  <tableColumns count="4">
    <tableColumn id="1" xr3:uid="{5ECB2ADC-AE17-4FBD-AFB9-648DB3076D59}" name="Source" totalsRowLabel="Total" dataDxfId="188" totalsRowDxfId="189"/>
    <tableColumn id="2" xr3:uid="{E3676587-8965-49D6-AB15-25B9F34454BE}" name="Planned" totalsRowFunction="sum" dataDxfId="186" totalsRowDxfId="187"/>
    <tableColumn id="3" xr3:uid="{EBADFF80-25A5-4979-97E6-33A3E1E81A1B}" name="Actual" totalsRowFunction="sum" dataDxfId="184" totalsRowDxfId="185"/>
    <tableColumn id="4" xr3:uid="{E48F5E17-71AA-467C-82D8-770AECDBD020}" name="Left" totalsRowFunction="sum" dataDxfId="182" totalsRowDxfId="183"/>
  </tableColumns>
  <tableStyleInfo name="TableStyleLight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672C86A-DA2B-4BC5-BD9D-1DDE83878FFB}" name="Expences_10" displayName="Expences_10" ref="F14:I25" totalsRowCount="1" headerRowDxfId="181" headerRowBorderDxfId="179" tableBorderDxfId="180" totalsRowBorderDxfId="178">
  <autoFilter ref="F14:I24" xr:uid="{38B116CE-31B6-45DF-A5E5-6F83DAC4414E}"/>
  <tableColumns count="4">
    <tableColumn id="1" xr3:uid="{F966724F-7330-4C84-AEEC-17565FDD4D13}" name="Category" totalsRowLabel="Total" dataDxfId="176" totalsRowDxfId="177"/>
    <tableColumn id="2" xr3:uid="{0B0137FF-9EFF-4857-99E4-89B64A81F83A}" name="Planned" totalsRowFunction="sum" dataDxfId="174" totalsRowDxfId="175" dataCellStyle="Currency"/>
    <tableColumn id="3" xr3:uid="{1F988611-CE50-433C-A5A1-EA9839501D10}" name="Actual" totalsRowFunction="sum" dataDxfId="172" totalsRowDxfId="173"/>
    <tableColumn id="4" xr3:uid="{1BACE0BA-73EA-42C0-A496-D7FFF6634AA8}" name="Left" totalsRowFunction="sum" dataDxfId="170" totalsRowDxfId="171"/>
  </tableColumns>
  <tableStyleInfo name="TableStyleLight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3EBEBA2A-361A-4B6A-99C1-CBAF1F33AF0A}" name="Bills_10" displayName="Bills_10" ref="K14:N25" totalsRowCount="1" headerRowDxfId="169" headerRowBorderDxfId="167" tableBorderDxfId="168" totalsRowBorderDxfId="166">
  <autoFilter ref="K14:N24" xr:uid="{ECC700B2-B76E-4491-9483-1D89F694F63F}"/>
  <tableColumns count="4">
    <tableColumn id="1" xr3:uid="{0CDE9DB8-6954-491F-BC1B-58FDF7C8CE49}" name="Bill" totalsRowLabel="Total" dataDxfId="164" totalsRowDxfId="165"/>
    <tableColumn id="2" xr3:uid="{0F0E0A97-0F78-44E4-96E0-10AA57791B93}" name="Due" dataDxfId="162" totalsRowDxfId="163"/>
    <tableColumn id="3" xr3:uid="{9CD3E560-7C9B-4A6A-919F-3F9DA1B1411C}" name="Planned" totalsRowFunction="sum" dataDxfId="160" totalsRowDxfId="161" dataCellStyle="Currency"/>
    <tableColumn id="4" xr3:uid="{23F0C480-9A8D-4930-B0C9-0BAEDED51A1B}" name="Actual" totalsRowFunction="sum" dataDxfId="158" totalsRowDxfId="159" dataCellStyle="Currency"/>
  </tableColumns>
  <tableStyleInfo name="TableStyleLight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3794C1F-C7AE-4DAC-BB39-6A85D8484AB7}" name="Subscriptions_10" displayName="Subscriptions_10" ref="P14:S25" totalsRowCount="1" headerRowDxfId="157" headerRowBorderDxfId="155" tableBorderDxfId="156" totalsRowBorderDxfId="154">
  <autoFilter ref="P14:S24" xr:uid="{9FF32752-EBDA-4F8F-82CD-629DF8D15E9C}"/>
  <tableColumns count="4">
    <tableColumn id="1" xr3:uid="{61803EA0-A82B-4040-AABC-30032E6C02D1}" name="Subscription" totalsRowLabel="Total" dataDxfId="152" totalsRowDxfId="153"/>
    <tableColumn id="2" xr3:uid="{60847A93-90C9-4138-99E4-11CBC8B81201}" name="Due" dataDxfId="150" totalsRowDxfId="151"/>
    <tableColumn id="3" xr3:uid="{E439279D-8FA7-4A83-9834-372304E910EE}" name="Planned" totalsRowFunction="sum" dataDxfId="148" totalsRowDxfId="149"/>
    <tableColumn id="4" xr3:uid="{0E7724E4-257A-4FC1-BA38-8AE98C6FAFDB}" name="Actual" totalsRowFunction="sum" dataDxfId="146" totalsRowDxfId="147"/>
  </tableColumns>
  <tableStyleInfo name="TableStyleLight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8B05EAA-A888-441A-AD3D-7C95D5BF8F70}" name="Savings_10" displayName="Savings_10" ref="U14:X25" totalsRowCount="1" headerRowDxfId="145" headerRowBorderDxfId="143" tableBorderDxfId="144" totalsRowBorderDxfId="142">
  <autoFilter ref="U14:X24" xr:uid="{44E50FE7-83F4-4B53-A84C-5F88036A5021}"/>
  <tableColumns count="4">
    <tableColumn id="1" xr3:uid="{82995F73-631C-4C82-8B08-0E29FAA58CFF}" name="Aim" totalsRowLabel="Total" dataDxfId="140" totalsRowDxfId="141"/>
    <tableColumn id="2" xr3:uid="{5E1A58FD-1280-4333-B92C-7B579C357263}" name="Planned" totalsRowFunction="sum" dataDxfId="138" totalsRowDxfId="139"/>
    <tableColumn id="3" xr3:uid="{EC04B2E1-BDCD-4062-B429-B922D7B90112}" name="Actual" totalsRowFunction="sum" dataDxfId="136" totalsRowDxfId="137"/>
    <tableColumn id="4" xr3:uid="{B4A92CE9-FEE6-49CF-8153-6794ED6C2196}" name="Left" totalsRowFunction="sum" dataDxfId="134" totalsRowDxfId="135">
      <calculatedColumnFormula>Savings_10[[#This Row],[Planned]]-Savings_10[[#This Row],[Actual]]</calculatedColumnFormula>
    </tableColumn>
  </tableColumns>
  <tableStyleInfo name="TableStyleLight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4EEEA09-86B1-42C0-9901-026485C4EA93}" name="Income_11" displayName="Income_11" ref="A14:D25" totalsRowCount="1" headerRowDxfId="128" headerRowBorderDxfId="126" tableBorderDxfId="127" totalsRowBorderDxfId="125">
  <autoFilter ref="A14:D24" xr:uid="{3576CECD-D08B-4FD8-8B17-CB25FFF439A3}"/>
  <tableColumns count="4">
    <tableColumn id="1" xr3:uid="{29FC696F-3564-4B24-A81D-158C89E2B106}" name="Source" totalsRowLabel="Total" dataDxfId="123" totalsRowDxfId="124"/>
    <tableColumn id="2" xr3:uid="{BB0A75F5-D368-4FAE-BF11-78B375589D6D}" name="Planned" totalsRowFunction="sum" dataDxfId="121" totalsRowDxfId="122"/>
    <tableColumn id="3" xr3:uid="{1C772D29-07F6-40D6-90EA-023685DBCD43}" name="Actual" totalsRowFunction="sum" dataDxfId="119" totalsRowDxfId="120"/>
    <tableColumn id="4" xr3:uid="{22AB43E7-E1BF-41D9-9F7D-1783DEBE4A5D}" name="Left" totalsRowFunction="sum" dataDxfId="117" totalsRowDxfId="118"/>
  </tableColumns>
  <tableStyleInfo name="TableStyleLight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422233D-4642-43F8-AE81-62C6687DB917}" name="Expences_11" displayName="Expences_11" ref="F14:I25" totalsRowCount="1" headerRowDxfId="116" headerRowBorderDxfId="114" tableBorderDxfId="115" totalsRowBorderDxfId="113">
  <autoFilter ref="F14:I24" xr:uid="{38B116CE-31B6-45DF-A5E5-6F83DAC4414E}"/>
  <tableColumns count="4">
    <tableColumn id="1" xr3:uid="{9A58E55D-A7B2-40A5-A3CC-63CCAEA22B8C}" name="Category" totalsRowLabel="Total" dataDxfId="111" totalsRowDxfId="112"/>
    <tableColumn id="2" xr3:uid="{130BA5CA-9FFD-4A60-8DC7-08ED244842FB}" name="Planned" totalsRowFunction="sum" dataDxfId="109" totalsRowDxfId="110" dataCellStyle="Currency"/>
    <tableColumn id="3" xr3:uid="{39971B84-2034-4E06-A35F-037C4478250A}" name="Actual" totalsRowFunction="sum" dataDxfId="107" totalsRowDxfId="108"/>
    <tableColumn id="4" xr3:uid="{12DBE264-FC75-4812-86B2-BB765581ED80}" name="Left" totalsRowFunction="sum" dataDxfId="105" totalsRowDxfId="106"/>
  </tableColumns>
  <tableStyleInfo name="TableStyleLight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C314A53-A6A6-4691-970E-14218A19A03B}" name="Bills_11" displayName="Bills_11" ref="K14:N25" totalsRowCount="1" headerRowDxfId="104" headerRowBorderDxfId="102" tableBorderDxfId="103" totalsRowBorderDxfId="101">
  <autoFilter ref="K14:N24" xr:uid="{ECC700B2-B76E-4491-9483-1D89F694F63F}"/>
  <tableColumns count="4">
    <tableColumn id="1" xr3:uid="{51B06013-9BAC-47EF-9341-B64685ABB6E3}" name="Bill" totalsRowLabel="Total" dataDxfId="99" totalsRowDxfId="100"/>
    <tableColumn id="2" xr3:uid="{942C1D0C-6861-4A7F-98D8-5494B1C02E39}" name="Due" dataDxfId="97" totalsRowDxfId="98"/>
    <tableColumn id="3" xr3:uid="{6A15B865-1347-4AEB-B0A9-D3EA3C00B75A}" name="Planned" totalsRowFunction="sum" dataDxfId="95" totalsRowDxfId="96" dataCellStyle="Currency"/>
    <tableColumn id="4" xr3:uid="{B174CEAA-0D18-4C5B-B76B-76C31DEB0985}" name="Actual" totalsRowFunction="sum" dataDxfId="93" totalsRowDxfId="94" dataCellStyle="Currency"/>
  </tableColumns>
  <tableStyleInfo name="TableStyleLight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DD312A2-911D-40E0-8F91-47AF5AA0971A}" name="Subscriptions_11" displayName="Subscriptions_11" ref="P14:S25" totalsRowCount="1" headerRowDxfId="92" headerRowBorderDxfId="90" tableBorderDxfId="91" totalsRowBorderDxfId="89">
  <autoFilter ref="P14:S24" xr:uid="{9FF32752-EBDA-4F8F-82CD-629DF8D15E9C}"/>
  <tableColumns count="4">
    <tableColumn id="1" xr3:uid="{EED5C8BE-08F6-4F85-8A58-4A82050471CB}" name="Subscription" totalsRowLabel="Total" dataDxfId="87" totalsRowDxfId="88"/>
    <tableColumn id="2" xr3:uid="{58EC097A-156C-41EE-913D-7886DDA483C3}" name="Due" dataDxfId="85" totalsRowDxfId="86"/>
    <tableColumn id="3" xr3:uid="{CEDBCFBB-9FC7-415D-8A6A-D32766C598F4}" name="Planned" totalsRowFunction="sum" dataDxfId="83" totalsRowDxfId="84"/>
    <tableColumn id="4" xr3:uid="{64D9CDAC-BE7A-4013-A020-9AC44137FC57}" name="Actual" totalsRowFunction="sum" dataDxfId="81" totalsRowDxfId="82"/>
  </tableColumns>
  <tableStyleInfo name="TableStyleLight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D15EC19-E8D8-442B-8A0A-68822F789114}" name="Savings_11" displayName="Savings_11" ref="U14:X25" totalsRowCount="1" headerRowDxfId="80" headerRowBorderDxfId="78" tableBorderDxfId="79" totalsRowBorderDxfId="77">
  <autoFilter ref="U14:X24" xr:uid="{44E50FE7-83F4-4B53-A84C-5F88036A5021}"/>
  <tableColumns count="4">
    <tableColumn id="1" xr3:uid="{E4E0127B-45AE-41EF-8658-215F7AF11A9F}" name="Aim" totalsRowLabel="Total" dataDxfId="75" totalsRowDxfId="76"/>
    <tableColumn id="2" xr3:uid="{14C65BF6-C3F9-4B7E-964A-1E240A3ED9A2}" name="Planned" totalsRowFunction="sum" dataDxfId="73" totalsRowDxfId="74"/>
    <tableColumn id="3" xr3:uid="{7C291721-890C-4241-9F47-F45194BB41D8}" name="Actual" totalsRowFunction="sum" dataDxfId="71" totalsRowDxfId="72"/>
    <tableColumn id="4" xr3:uid="{4D6E4D10-711F-44CA-8D55-960B66AF4252}" name="Left" totalsRowFunction="sum" dataDxfId="69" totalsRowDxfId="70">
      <calculatedColumnFormula>Savings_11[[#This Row],[Planned]]-Savings_11[[#This Row],[Actual]]</calculatedColumnFormula>
    </tableColumn>
  </tableColumns>
  <tableStyleInfo name="TableStyleLight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C43FCFBF-59EF-4B81-91A5-0B495C42924A}" name="Income_12" displayName="Income_12" ref="A14:D25" totalsRowCount="1" headerRowDxfId="63" headerRowBorderDxfId="61" tableBorderDxfId="62" totalsRowBorderDxfId="60">
  <autoFilter ref="A14:D24" xr:uid="{3576CECD-D08B-4FD8-8B17-CB25FFF439A3}"/>
  <tableColumns count="4">
    <tableColumn id="1" xr3:uid="{399045C8-BE04-495F-95A4-C5959A364E63}" name="Source" totalsRowLabel="Total" dataDxfId="58" totalsRowDxfId="59"/>
    <tableColumn id="2" xr3:uid="{7AB2C906-3FAD-409F-959A-4D2DB3C72D8F}" name="Planned" totalsRowFunction="sum" dataDxfId="56" totalsRowDxfId="57"/>
    <tableColumn id="3" xr3:uid="{B6A0552B-5F21-407E-9478-D2DA39B139FA}" name="Actual" totalsRowFunction="sum" dataDxfId="54" totalsRowDxfId="55"/>
    <tableColumn id="4" xr3:uid="{8D36ECCD-9F22-4BA7-8ED3-05451F4DBB4F}" name="Left" totalsRowFunction="sum" dataDxfId="52" totalsRowDxfId="53"/>
  </tableColumns>
  <tableStyleInfo name="TableStyleLight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B307C866-71F3-4363-9F01-264F22C1FFDF}" name="Expences_12" displayName="Expences_12" ref="F14:I25" totalsRowCount="1" headerRowDxfId="51" headerRowBorderDxfId="49" tableBorderDxfId="50" totalsRowBorderDxfId="48">
  <autoFilter ref="F14:I24" xr:uid="{38B116CE-31B6-45DF-A5E5-6F83DAC4414E}"/>
  <tableColumns count="4">
    <tableColumn id="1" xr3:uid="{448E97BC-9A7D-4C63-9F0E-4E042B433E40}" name="Category" totalsRowLabel="Total" dataDxfId="46" totalsRowDxfId="47"/>
    <tableColumn id="2" xr3:uid="{0B5B170D-5EAA-4D9B-B8B7-7AA1ED077438}" name="Planned" totalsRowFunction="sum" dataDxfId="44" totalsRowDxfId="45" dataCellStyle="Currency"/>
    <tableColumn id="3" xr3:uid="{0204D08D-3DA4-4986-9CAF-6501CB66EBB4}" name="Actual" totalsRowFunction="sum" dataDxfId="42" totalsRowDxfId="43"/>
    <tableColumn id="4" xr3:uid="{0D9FDBA7-84A5-49A0-9D45-7812A86D0433}" name="Left" totalsRowFunction="sum" dataDxfId="40" totalsRowDxfId="41"/>
  </tableColumns>
  <tableStyleInfo name="TableStyleLight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7BFCF8B-4C02-4716-9EDB-1830C7D346FB}" name="Bills_12" displayName="Bills_12" ref="K14:N25" totalsRowCount="1" headerRowDxfId="39" headerRowBorderDxfId="37" tableBorderDxfId="38" totalsRowBorderDxfId="36">
  <autoFilter ref="K14:N24" xr:uid="{ECC700B2-B76E-4491-9483-1D89F694F63F}"/>
  <tableColumns count="4">
    <tableColumn id="1" xr3:uid="{0D0C15FB-5304-4848-817E-DAC00FA8B77E}" name="Bill" totalsRowLabel="Total" dataDxfId="34" totalsRowDxfId="35"/>
    <tableColumn id="2" xr3:uid="{7984CC1D-9A7E-4BF2-B60C-E118A0949604}" name="Due" dataDxfId="32" totalsRowDxfId="33"/>
    <tableColumn id="3" xr3:uid="{41C7C33B-510E-46E9-8A38-F28CE1DBD518}" name="Planned" totalsRowFunction="sum" dataDxfId="30" totalsRowDxfId="31" dataCellStyle="Currency"/>
    <tableColumn id="4" xr3:uid="{79C6219F-0677-4AAA-8E77-F2F386DFC05A}" name="Actual" totalsRowFunction="sum" dataDxfId="28" totalsRowDxfId="29" dataCellStyle="Currency"/>
  </tableColumns>
  <tableStyleInfo name="TableStyleLight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C527244E-B7E7-419B-B4BA-42976CFC5C23}" name="Subscriptions_12" displayName="Subscriptions_12" ref="P14:S25" totalsRowCount="1" headerRowDxfId="27" headerRowBorderDxfId="25" tableBorderDxfId="26" totalsRowBorderDxfId="24">
  <autoFilter ref="P14:S24" xr:uid="{9FF32752-EBDA-4F8F-82CD-629DF8D15E9C}"/>
  <tableColumns count="4">
    <tableColumn id="1" xr3:uid="{9CE6ED0E-4619-4095-A8B8-B318E4693127}" name="Subscription" totalsRowLabel="Total" dataDxfId="22" totalsRowDxfId="23"/>
    <tableColumn id="2" xr3:uid="{577A1EAA-A7C8-46C0-9982-B433BD033745}" name="Due" dataDxfId="20" totalsRowDxfId="21"/>
    <tableColumn id="3" xr3:uid="{B65213A7-973B-4411-9FA8-1B9433ED1F5F}" name="Planned" totalsRowFunction="sum" dataDxfId="18" totalsRowDxfId="19"/>
    <tableColumn id="4" xr3:uid="{75D2A012-AAF5-4482-9BF3-B3C6955F9C84}" name="Actual" totalsRowFunction="sum" dataDxfId="16" totalsRowDxfId="17"/>
  </tableColumns>
  <tableStyleInfo name="TableStyleLight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3BADF529-72FD-4B4D-B4A3-DF1C9357FFEF}" name="Savings_12" displayName="Savings_12" ref="U14:X25" totalsRowCount="1" headerRowDxfId="15" headerRowBorderDxfId="13" tableBorderDxfId="14" totalsRowBorderDxfId="12">
  <autoFilter ref="U14:X24" xr:uid="{44E50FE7-83F4-4B53-A84C-5F88036A5021}"/>
  <tableColumns count="4">
    <tableColumn id="1" xr3:uid="{D43E0847-FFBE-4179-B341-FD218B6FCCE7}" name="Aim" totalsRowLabel="Total" dataDxfId="10" totalsRowDxfId="11"/>
    <tableColumn id="2" xr3:uid="{8092A25E-ACA8-4856-BF6D-DE2A6373DAA6}" name="Planned" totalsRowFunction="sum" dataDxfId="8" totalsRowDxfId="9"/>
    <tableColumn id="3" xr3:uid="{215C51D6-E02A-4372-94A1-53AE0CFBB13B}" name="Actual" totalsRowFunction="sum" dataDxfId="6" totalsRowDxfId="7"/>
    <tableColumn id="4" xr3:uid="{554A8E89-1A47-47B2-9A38-60E7AEC2DAAF}" name="Left" totalsRowFunction="sum" dataDxfId="4" totalsRowDxfId="5">
      <calculatedColumnFormula>Savings_12[[#This Row],[Planned]]-Savings_12[[#This Row],[Actual]]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7" Type="http://schemas.openxmlformats.org/officeDocument/2006/relationships/table" Target="../tables/table35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34.xml"/><Relationship Id="rId5" Type="http://schemas.openxmlformats.org/officeDocument/2006/relationships/table" Target="../tables/table33.xml"/><Relationship Id="rId4" Type="http://schemas.openxmlformats.org/officeDocument/2006/relationships/table" Target="../tables/table3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7" Type="http://schemas.openxmlformats.org/officeDocument/2006/relationships/table" Target="../tables/table40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39.xml"/><Relationship Id="rId5" Type="http://schemas.openxmlformats.org/officeDocument/2006/relationships/table" Target="../tables/table38.xml"/><Relationship Id="rId4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7" Type="http://schemas.openxmlformats.org/officeDocument/2006/relationships/table" Target="../tables/table45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7" Type="http://schemas.openxmlformats.org/officeDocument/2006/relationships/table" Target="../tables/table50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49.xml"/><Relationship Id="rId5" Type="http://schemas.openxmlformats.org/officeDocument/2006/relationships/table" Target="../tables/table48.xml"/><Relationship Id="rId4" Type="http://schemas.openxmlformats.org/officeDocument/2006/relationships/table" Target="../tables/table4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7" Type="http://schemas.openxmlformats.org/officeDocument/2006/relationships/table" Target="../tables/table55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6" Type="http://schemas.openxmlformats.org/officeDocument/2006/relationships/table" Target="../tables/table54.xml"/><Relationship Id="rId5" Type="http://schemas.openxmlformats.org/officeDocument/2006/relationships/table" Target="../tables/table53.xml"/><Relationship Id="rId4" Type="http://schemas.openxmlformats.org/officeDocument/2006/relationships/table" Target="../tables/table5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7" Type="http://schemas.openxmlformats.org/officeDocument/2006/relationships/table" Target="../tables/table6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6" Type="http://schemas.openxmlformats.org/officeDocument/2006/relationships/table" Target="../tables/table59.xml"/><Relationship Id="rId5" Type="http://schemas.openxmlformats.org/officeDocument/2006/relationships/table" Target="../tables/table58.xml"/><Relationship Id="rId4" Type="http://schemas.openxmlformats.org/officeDocument/2006/relationships/table" Target="../tables/table5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5D01-09F3-473C-BD5D-530D7D865754}">
  <sheetPr codeName="Sheet1"/>
  <dimension ref="A1:X26"/>
  <sheetViews>
    <sheetView tabSelected="1" zoomScale="80" zoomScaleNormal="80" workbookViewId="0">
      <selection activeCell="D7" sqref="D7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1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5655.5</v>
      </c>
      <c r="D5" s="8">
        <f ca="1">C5-B5</f>
        <v>-44.5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4810</v>
      </c>
      <c r="D6" s="8">
        <f t="shared" ref="D6:D7" ca="1" si="0">B6-C6</f>
        <v>-1010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-154.5</v>
      </c>
      <c r="D9" s="8">
        <f ca="1">D5+D6+D7</f>
        <v>-154.5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250</v>
      </c>
      <c r="D15" s="25">
        <f ca="1">C15-B15</f>
        <v>-2250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45667</v>
      </c>
      <c r="M15" s="13">
        <v>1500</v>
      </c>
      <c r="N15" s="35"/>
      <c r="P15" s="39" t="s">
        <v>19</v>
      </c>
      <c r="Q15" s="6">
        <f ca="1">DATE(2025,$A$2, RANDBETWEEN(1, 28))</f>
        <v>45661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Savings_1[[#This Row],[Planned]]-Savings_1[[#This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105.5</v>
      </c>
      <c r="D16" s="25">
        <f t="shared" ref="D16:D20" ca="1" si="1">C16-B16</f>
        <v>-194.5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80</v>
      </c>
      <c r="I16" s="28">
        <f t="shared" ref="I16:I23" ca="1" si="2">G16-H16</f>
        <v>120</v>
      </c>
      <c r="K16" s="33" t="s">
        <v>2</v>
      </c>
      <c r="L16" s="5">
        <f ca="1">DATE(2025,$A$2, 5)</f>
        <v>45662</v>
      </c>
      <c r="M16" s="13">
        <v>45</v>
      </c>
      <c r="N16" s="35"/>
      <c r="P16" s="39" t="s">
        <v>20</v>
      </c>
      <c r="Q16" s="6">
        <f ca="1">DATE(2025,$A$2, RANDBETWEEN(1, 28))</f>
        <v>45679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Savings_1[[#This Row],[Planned]]-Savings_1[[#This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85</v>
      </c>
      <c r="I17" s="28">
        <f t="shared" ca="1" si="2"/>
        <v>215</v>
      </c>
      <c r="K17" s="33" t="s">
        <v>15</v>
      </c>
      <c r="L17" s="5">
        <f ca="1">DATE(2025,$A$2, 5)</f>
        <v>45662</v>
      </c>
      <c r="M17" s="13">
        <v>30</v>
      </c>
      <c r="N17" s="35"/>
      <c r="P17" s="39" t="s">
        <v>21</v>
      </c>
      <c r="Q17" s="6">
        <f ca="1">DATE(2025,$A$2, RANDBETWEEN(1, 28))</f>
        <v>45663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Savings_1[[#This Row],[Planned]]-Savings_1[[#This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800</v>
      </c>
      <c r="D18" s="25">
        <f t="shared" ca="1" si="1"/>
        <v>700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1715</v>
      </c>
      <c r="I18" s="28">
        <f t="shared" ca="1" si="2"/>
        <v>-965</v>
      </c>
      <c r="K18" s="33" t="s">
        <v>14</v>
      </c>
      <c r="L18" s="5">
        <f ca="1">DATE(2025,$A$2, 10)</f>
        <v>45667</v>
      </c>
      <c r="M18" s="13">
        <v>35</v>
      </c>
      <c r="N18" s="35"/>
      <c r="P18" s="39" t="s">
        <v>22</v>
      </c>
      <c r="Q18" s="6">
        <f ca="1">DATE(2025,$A$2, RANDBETWEEN(1, 28))</f>
        <v>45683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Savings_1[[#This Row],[Planned]]-Savings_1[[#This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100</v>
      </c>
      <c r="I19" s="28">
        <f t="shared" ca="1" si="2"/>
        <v>30</v>
      </c>
      <c r="K19" s="33" t="s">
        <v>16</v>
      </c>
      <c r="L19" s="5">
        <f ca="1">DATE(2025,$A$2, 10)</f>
        <v>45667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Savings_1[[#This Row],[Planned]]-Savings_1[[#This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150</v>
      </c>
      <c r="I20" s="28">
        <f t="shared" ca="1" si="2"/>
        <v>-20</v>
      </c>
      <c r="K20" s="33" t="s">
        <v>17</v>
      </c>
      <c r="L20" s="5">
        <f ca="1">DATE(2025,$A$2, 10)</f>
        <v>45667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Savings_1[[#This Row],[Planned]]-Savings_1[[#This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500</v>
      </c>
      <c r="I21" s="28">
        <f t="shared" ca="1" si="2"/>
        <v>-300</v>
      </c>
      <c r="K21" s="33" t="s">
        <v>18</v>
      </c>
      <c r="L21" s="5">
        <f ca="1">DATE(2025,$A$2, 10)</f>
        <v>45667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Savings_1[[#This Row],[Planned]]-Savings_1[[#This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100</v>
      </c>
      <c r="I22" s="28">
        <f t="shared" ca="1" si="2"/>
        <v>100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Savings_1[[#This Row],[Planned]]-Savings_1[[#This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80</v>
      </c>
      <c r="I23" s="28">
        <f t="shared" ca="1" si="2"/>
        <v>70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Savings_1[[#This Row],[Planned]]-Savings_1[[#This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Savings_1[[#This Row],[Planned]]-Savings_1[[#This Row],[Actual]]</f>
        <v>0</v>
      </c>
    </row>
    <row r="25" spans="1:24" ht="15" thickBot="1" x14ac:dyDescent="0.35">
      <c r="A25" s="21" t="s">
        <v>45</v>
      </c>
      <c r="B25" s="20">
        <f>SUBTOTAL(109,Income_1[Planned])</f>
        <v>5700</v>
      </c>
      <c r="C25" s="20">
        <f ca="1">SUBTOTAL(109,Income_1[Actual])</f>
        <v>5655.5</v>
      </c>
      <c r="D25" s="20">
        <f ca="1">SUBTOTAL(109,Income_1[Left])</f>
        <v>-44.5</v>
      </c>
      <c r="E25" s="19"/>
      <c r="F25" s="22" t="s">
        <v>45</v>
      </c>
      <c r="G25" s="23">
        <f>SUBTOTAL(109,Expences_1[Planned])</f>
        <v>3800</v>
      </c>
      <c r="H25" s="23">
        <f ca="1">SUBTOTAL(109,Expences_1[Actual])</f>
        <v>4810</v>
      </c>
      <c r="I25" s="23">
        <f ca="1">SUBTOTAL(109,Expences_1[Left])</f>
        <v>-1010</v>
      </c>
      <c r="K25" s="37" t="s">
        <v>45</v>
      </c>
      <c r="L25" s="37"/>
      <c r="M25" s="63">
        <f>SUBTOTAL(109,Bills_1[Planned])</f>
        <v>1740</v>
      </c>
      <c r="N25" s="38">
        <f>SUBTOTAL(109,Bills_1[Actual])</f>
        <v>0</v>
      </c>
      <c r="P25" s="43" t="s">
        <v>45</v>
      </c>
      <c r="Q25" s="44"/>
      <c r="R25" s="45">
        <f>SUBTOTAL(109,Subscriptions_1[Planned])</f>
        <v>93.67</v>
      </c>
      <c r="S25" s="45">
        <f>SUBTOTAL(109,Subscriptions_1[Actual])</f>
        <v>0</v>
      </c>
      <c r="U25" s="50" t="s">
        <v>45</v>
      </c>
      <c r="V25" s="51">
        <f>SUBTOTAL(109,Savings_1[Planned])</f>
        <v>1900</v>
      </c>
      <c r="W25" s="51">
        <f>SUBTOTAL(109,Savings_1[Actual])</f>
        <v>1000</v>
      </c>
      <c r="X25" s="51">
        <f>SUBTOTAL(109,Savings_1[Left])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sortState xmlns:xlrd2="http://schemas.microsoft.com/office/spreadsheetml/2017/richdata2" ref="A15:A20">
    <sortCondition ref="A15:A20"/>
  </sortState>
  <mergeCells count="7">
    <mergeCell ref="A1:D1"/>
    <mergeCell ref="A2:D2"/>
    <mergeCell ref="F13:I13"/>
    <mergeCell ref="P13:S13"/>
    <mergeCell ref="K13:N13"/>
    <mergeCell ref="A13:D13"/>
    <mergeCell ref="U13:X13"/>
  </mergeCells>
  <conditionalFormatting sqref="B9:D9">
    <cfRule type="cellIs" dxfId="727" priority="5" operator="lessThan">
      <formula>0</formula>
    </cfRule>
  </conditionalFormatting>
  <conditionalFormatting sqref="L15:L24">
    <cfRule type="cellIs" dxfId="726" priority="1" operator="equal">
      <formula>TODAY()</formula>
    </cfRule>
    <cfRule type="cellIs" dxfId="725" priority="2" operator="lessThan">
      <formula>TODAY()</formula>
    </cfRule>
  </conditionalFormatting>
  <conditionalFormatting sqref="Q15:Q24">
    <cfRule type="cellIs" dxfId="724" priority="3" operator="equal">
      <formula>TODAY()</formula>
    </cfRule>
    <cfRule type="cellIs" dxfId="723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060D-8902-44AA-BD5C-D0EEB68311C7}">
  <sheetPr codeName="Sheet2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2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6565</v>
      </c>
      <c r="D5" s="8">
        <f ca="1">C5-B5</f>
        <v>865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4100.5</v>
      </c>
      <c r="D6" s="8">
        <f t="shared" ref="D6:D7" ca="1" si="0">B6-C6</f>
        <v>-300.5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1464.5</v>
      </c>
      <c r="D9" s="8">
        <f ca="1">D5+D6+D7</f>
        <v>1464.5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45698</v>
      </c>
      <c r="M15" s="13">
        <v>1500</v>
      </c>
      <c r="N15" s="35"/>
      <c r="P15" s="39" t="s">
        <v>19</v>
      </c>
      <c r="Q15" s="6">
        <f ca="1">DATE(2025,$A$2, RANDBETWEEN(1, 28))</f>
        <v>45693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Savings_2[[#This Row],[Planned]]-Savings_2[[#This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115</v>
      </c>
      <c r="D16" s="25">
        <f t="shared" ref="D16:D20" ca="1" si="1">C16-B16</f>
        <v>-185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0</v>
      </c>
      <c r="I16" s="28">
        <f t="shared" ref="I16:I23" ca="1" si="2">G16-H16</f>
        <v>200</v>
      </c>
      <c r="K16" s="33" t="s">
        <v>2</v>
      </c>
      <c r="L16" s="5">
        <f ca="1">DATE(2025,$A$2, 5)</f>
        <v>45693</v>
      </c>
      <c r="M16" s="13">
        <v>45</v>
      </c>
      <c r="N16" s="35"/>
      <c r="P16" s="39" t="s">
        <v>20</v>
      </c>
      <c r="Q16" s="6">
        <f ca="1">DATE(2025,$A$2, RANDBETWEEN(1, 28))</f>
        <v>45697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Savings_2[[#This Row],[Planned]]-Savings_2[[#This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350</v>
      </c>
      <c r="I17" s="28">
        <f t="shared" ca="1" si="2"/>
        <v>-50</v>
      </c>
      <c r="K17" s="33" t="s">
        <v>15</v>
      </c>
      <c r="L17" s="5">
        <f ca="1">DATE(2025,$A$2, 5)</f>
        <v>45693</v>
      </c>
      <c r="M17" s="13">
        <v>30</v>
      </c>
      <c r="N17" s="35"/>
      <c r="P17" s="39" t="s">
        <v>21</v>
      </c>
      <c r="Q17" s="6">
        <f ca="1">DATE(2025,$A$2, RANDBETWEEN(1, 28))</f>
        <v>45698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Savings_2[[#This Row],[Planned]]-Savings_2[[#This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1950</v>
      </c>
      <c r="D18" s="25">
        <f t="shared" ca="1" si="1"/>
        <v>1850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405.5</v>
      </c>
      <c r="I18" s="28">
        <f t="shared" ca="1" si="2"/>
        <v>344.5</v>
      </c>
      <c r="K18" s="33" t="s">
        <v>14</v>
      </c>
      <c r="L18" s="5">
        <f ca="1">DATE(2025,$A$2, 10)</f>
        <v>45698</v>
      </c>
      <c r="M18" s="13">
        <v>35</v>
      </c>
      <c r="N18" s="35"/>
      <c r="P18" s="39" t="s">
        <v>22</v>
      </c>
      <c r="Q18" s="6">
        <f ca="1">DATE(2025,$A$2, RANDBETWEEN(1, 28))</f>
        <v>45715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Savings_2[[#This Row],[Planned]]-Savings_2[[#This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250</v>
      </c>
      <c r="I19" s="28">
        <f t="shared" ca="1" si="2"/>
        <v>-120</v>
      </c>
      <c r="K19" s="33" t="s">
        <v>16</v>
      </c>
      <c r="L19" s="5">
        <f ca="1">DATE(2025,$A$2, 10)</f>
        <v>45698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Savings_2[[#This Row],[Planned]]-Savings_2[[#This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150</v>
      </c>
      <c r="I20" s="28">
        <f t="shared" ca="1" si="2"/>
        <v>-20</v>
      </c>
      <c r="K20" s="33" t="s">
        <v>17</v>
      </c>
      <c r="L20" s="5">
        <f ca="1">DATE(2025,$A$2, 10)</f>
        <v>45698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Savings_2[[#This Row],[Planned]]-Savings_2[[#This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765</v>
      </c>
      <c r="I21" s="28">
        <f t="shared" ca="1" si="2"/>
        <v>-565</v>
      </c>
      <c r="K21" s="33" t="s">
        <v>18</v>
      </c>
      <c r="L21" s="5">
        <f ca="1">DATE(2025,$A$2, 10)</f>
        <v>45698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Savings_2[[#This Row],[Planned]]-Savings_2[[#This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100</v>
      </c>
      <c r="I22" s="28">
        <f t="shared" ca="1" si="2"/>
        <v>100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Savings_2[[#This Row],[Planned]]-Savings_2[[#This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80</v>
      </c>
      <c r="I23" s="28">
        <f t="shared" ca="1" si="2"/>
        <v>70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Savings_2[[#This Row],[Planned]]-Savings_2[[#This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Savings_2[[#This Row],[Planned]]-Savings_2[[#This Row],[Actual]]</f>
        <v>0</v>
      </c>
    </row>
    <row r="25" spans="1:24" ht="15" thickBot="1" x14ac:dyDescent="0.35">
      <c r="A25" s="21" t="s">
        <v>45</v>
      </c>
      <c r="B25" s="20">
        <f>SUBTOTAL(109,Income_2[Planned])</f>
        <v>5700</v>
      </c>
      <c r="C25" s="20">
        <f ca="1">SUBTOTAL(109,Income_2[Actual])</f>
        <v>6565</v>
      </c>
      <c r="D25" s="20">
        <f ca="1">SUBTOTAL(109,Income_2[Left])</f>
        <v>865</v>
      </c>
      <c r="E25" s="19"/>
      <c r="F25" s="22" t="s">
        <v>45</v>
      </c>
      <c r="G25" s="23">
        <f>SUBTOTAL(109,Expences_2[Planned])</f>
        <v>3800</v>
      </c>
      <c r="H25" s="23">
        <f ca="1">SUBTOTAL(109,Expences_2[Actual])</f>
        <v>4100.5</v>
      </c>
      <c r="I25" s="23">
        <f ca="1">SUBTOTAL(109,Expences_2[Left])</f>
        <v>-300.5</v>
      </c>
      <c r="K25" s="37" t="s">
        <v>45</v>
      </c>
      <c r="L25" s="37"/>
      <c r="M25" s="63">
        <f>SUBTOTAL(109,Bills_2[Planned])</f>
        <v>1740</v>
      </c>
      <c r="N25" s="38">
        <f>SUBTOTAL(109,Bills_2[Actual])</f>
        <v>0</v>
      </c>
      <c r="P25" s="43" t="s">
        <v>45</v>
      </c>
      <c r="Q25" s="44"/>
      <c r="R25" s="45">
        <f>SUBTOTAL(109,Subscriptions_2[Planned])</f>
        <v>93.67</v>
      </c>
      <c r="S25" s="45">
        <f>SUBTOTAL(109,Subscriptions_2[Actual])</f>
        <v>0</v>
      </c>
      <c r="U25" s="50" t="s">
        <v>45</v>
      </c>
      <c r="V25" s="51">
        <f>SUBTOTAL(109,Savings_2[Planned])</f>
        <v>1900</v>
      </c>
      <c r="W25" s="51">
        <f>SUBTOTAL(109,Savings_2[Actual])</f>
        <v>1000</v>
      </c>
      <c r="X25" s="51">
        <f>SUBTOTAL(109,Savings_2[Left])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718" priority="5" operator="lessThan">
      <formula>0</formula>
    </cfRule>
  </conditionalFormatting>
  <conditionalFormatting sqref="L15:L24">
    <cfRule type="cellIs" dxfId="717" priority="1" operator="equal">
      <formula>TODAY()</formula>
    </cfRule>
    <cfRule type="cellIs" dxfId="716" priority="2" operator="lessThan">
      <formula>TODAY()</formula>
    </cfRule>
  </conditionalFormatting>
  <conditionalFormatting sqref="Q15:Q24">
    <cfRule type="cellIs" dxfId="715" priority="3" operator="equal">
      <formula>TODAY()</formula>
    </cfRule>
    <cfRule type="cellIs" dxfId="71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A53B-E349-4D29-BFEE-84782893BB1A}">
  <sheetPr codeName="Sheet3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3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4655</v>
      </c>
      <c r="D5" s="8">
        <f ca="1">C5-B5</f>
        <v>-1045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3899.3900000000003</v>
      </c>
      <c r="D6" s="8">
        <f t="shared" ref="D6:D7" ca="1" si="0">B6-C6</f>
        <v>-99.390000000000327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-244.39000000000033</v>
      </c>
      <c r="D9" s="8">
        <f ca="1">D5+D6+D7</f>
        <v>-244.39000000000033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45726</v>
      </c>
      <c r="M15" s="13">
        <v>1500</v>
      </c>
      <c r="N15" s="35"/>
      <c r="P15" s="39" t="s">
        <v>19</v>
      </c>
      <c r="Q15" s="6">
        <f ca="1">DATE(2025,$A$2, RANDBETWEEN(1, 28))</f>
        <v>45725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Savings_3[[#This Row],[Planned]]-Savings_3[[#This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150</v>
      </c>
      <c r="D16" s="25">
        <f t="shared" ref="D16:D20" ca="1" si="1">C16-B16</f>
        <v>-150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469.9</v>
      </c>
      <c r="I16" s="28">
        <f t="shared" ref="I16:I23" ca="1" si="2">G16-H16</f>
        <v>-269.89999999999998</v>
      </c>
      <c r="K16" s="33" t="s">
        <v>2</v>
      </c>
      <c r="L16" s="5">
        <f ca="1">DATE(2025,$A$2, 5)</f>
        <v>45721</v>
      </c>
      <c r="M16" s="13">
        <v>45</v>
      </c>
      <c r="N16" s="35"/>
      <c r="P16" s="39" t="s">
        <v>20</v>
      </c>
      <c r="Q16" s="6">
        <f ca="1">DATE(2025,$A$2, RANDBETWEEN(1, 28))</f>
        <v>45727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Savings_3[[#This Row],[Planned]]-Savings_3[[#This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5</v>
      </c>
      <c r="D17" s="25">
        <f t="shared" ca="1" si="1"/>
        <v>-495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200</v>
      </c>
      <c r="I17" s="28">
        <f t="shared" ca="1" si="2"/>
        <v>100</v>
      </c>
      <c r="K17" s="33" t="s">
        <v>15</v>
      </c>
      <c r="L17" s="5">
        <f ca="1">DATE(2025,$A$2, 5)</f>
        <v>45721</v>
      </c>
      <c r="M17" s="13">
        <v>30</v>
      </c>
      <c r="N17" s="35"/>
      <c r="P17" s="39" t="s">
        <v>21</v>
      </c>
      <c r="Q17" s="6">
        <f ca="1">DATE(2025,$A$2, RANDBETWEEN(1, 28))</f>
        <v>45721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Savings_3[[#This Row],[Planned]]-Savings_3[[#This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734.99</v>
      </c>
      <c r="I18" s="28">
        <f t="shared" ca="1" si="2"/>
        <v>15.009999999999991</v>
      </c>
      <c r="K18" s="33" t="s">
        <v>14</v>
      </c>
      <c r="L18" s="5">
        <f ca="1">DATE(2025,$A$2, 10)</f>
        <v>45726</v>
      </c>
      <c r="M18" s="13">
        <v>35</v>
      </c>
      <c r="N18" s="35"/>
      <c r="P18" s="39" t="s">
        <v>22</v>
      </c>
      <c r="Q18" s="6">
        <f ca="1">DATE(2025,$A$2, RANDBETWEEN(1, 28))</f>
        <v>45735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Savings_3[[#This Row],[Planned]]-Savings_3[[#This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9.5</v>
      </c>
      <c r="I19" s="28">
        <f t="shared" ca="1" si="2"/>
        <v>120.5</v>
      </c>
      <c r="K19" s="33" t="s">
        <v>16</v>
      </c>
      <c r="L19" s="5">
        <f ca="1">DATE(2025,$A$2, 10)</f>
        <v>45726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Savings_3[[#This Row],[Planned]]-Savings_3[[#This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23</v>
      </c>
      <c r="I20" s="28">
        <f t="shared" ca="1" si="2"/>
        <v>107</v>
      </c>
      <c r="K20" s="33" t="s">
        <v>17</v>
      </c>
      <c r="L20" s="5">
        <f ca="1">DATE(2025,$A$2, 10)</f>
        <v>45726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Savings_3[[#This Row],[Planned]]-Savings_3[[#This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300</v>
      </c>
      <c r="I21" s="28">
        <f t="shared" ca="1" si="2"/>
        <v>-100</v>
      </c>
      <c r="K21" s="33" t="s">
        <v>18</v>
      </c>
      <c r="L21" s="5">
        <f ca="1">DATE(2025,$A$2, 10)</f>
        <v>45726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Savings_3[[#This Row],[Planned]]-Savings_3[[#This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79.5</v>
      </c>
      <c r="I22" s="28">
        <f t="shared" ca="1" si="2"/>
        <v>120.5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Savings_3[[#This Row],[Planned]]-Savings_3[[#This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82.5</v>
      </c>
      <c r="I23" s="28">
        <f t="shared" ca="1" si="2"/>
        <v>67.5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Savings_3[[#This Row],[Planned]]-Savings_3[[#This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Savings_3[[#This Row],[Planned]]-Savings_3[[#This Row],[Actual]]</f>
        <v>0</v>
      </c>
    </row>
    <row r="25" spans="1:24" ht="15" thickBot="1" x14ac:dyDescent="0.35">
      <c r="A25" s="21" t="s">
        <v>45</v>
      </c>
      <c r="B25" s="20">
        <f>SUBTOTAL(109,Income_3[Planned])</f>
        <v>5700</v>
      </c>
      <c r="C25" s="20">
        <f ca="1">SUBTOTAL(109,Income_3[Actual])</f>
        <v>4655</v>
      </c>
      <c r="D25" s="20">
        <f ca="1">SUBTOTAL(109,Income_3[Left])</f>
        <v>-1045</v>
      </c>
      <c r="E25" s="19"/>
      <c r="F25" s="22" t="s">
        <v>45</v>
      </c>
      <c r="G25" s="23">
        <f>SUBTOTAL(109,Expences_3[Planned])</f>
        <v>3800</v>
      </c>
      <c r="H25" s="23">
        <f ca="1">SUBTOTAL(109,Expences_3[Actual])</f>
        <v>3899.3900000000003</v>
      </c>
      <c r="I25" s="23">
        <f ca="1">SUBTOTAL(109,Expences_3[Left])</f>
        <v>-99.389999999999986</v>
      </c>
      <c r="K25" s="37" t="s">
        <v>45</v>
      </c>
      <c r="L25" s="37"/>
      <c r="M25" s="63">
        <f>SUBTOTAL(109,Bills_3[Planned])</f>
        <v>1740</v>
      </c>
      <c r="N25" s="38">
        <f>SUBTOTAL(109,Bills_3[Actual])</f>
        <v>0</v>
      </c>
      <c r="P25" s="43" t="s">
        <v>45</v>
      </c>
      <c r="Q25" s="44"/>
      <c r="R25" s="45">
        <f>SUBTOTAL(109,Subscriptions_3[Planned])</f>
        <v>93.67</v>
      </c>
      <c r="S25" s="45">
        <f>SUBTOTAL(109,Subscriptions_3[Actual])</f>
        <v>0</v>
      </c>
      <c r="U25" s="50" t="s">
        <v>45</v>
      </c>
      <c r="V25" s="51">
        <f>SUBTOTAL(109,Savings_3[Planned])</f>
        <v>1900</v>
      </c>
      <c r="W25" s="51">
        <f>SUBTOTAL(109,Savings_3[Actual])</f>
        <v>1000</v>
      </c>
      <c r="X25" s="51">
        <f>SUBTOTAL(109,Savings_3[Left])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653" priority="5" operator="lessThan">
      <formula>0</formula>
    </cfRule>
  </conditionalFormatting>
  <conditionalFormatting sqref="L15:L24">
    <cfRule type="cellIs" dxfId="652" priority="1" operator="equal">
      <formula>TODAY()</formula>
    </cfRule>
    <cfRule type="cellIs" dxfId="651" priority="2" operator="lessThan">
      <formula>TODAY()</formula>
    </cfRule>
  </conditionalFormatting>
  <conditionalFormatting sqref="Q15:Q24">
    <cfRule type="cellIs" dxfId="650" priority="3" operator="equal">
      <formula>TODAY()</formula>
    </cfRule>
    <cfRule type="cellIs" dxfId="649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B90F-74FE-4078-9B4D-AA25A45445D2}">
  <sheetPr codeName="Sheet4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4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4700</v>
      </c>
      <c r="D5" s="8">
        <f ca="1">C5-B5</f>
        <v>-1000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3973.16</v>
      </c>
      <c r="D6" s="8">
        <f t="shared" ref="D6:D7" ca="1" si="0">B6-C6</f>
        <v>-173.15999999999985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-273.15999999999985</v>
      </c>
      <c r="D9" s="8">
        <f ca="1">D5+D6+D7</f>
        <v>-273.15999999999985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45757</v>
      </c>
      <c r="M15" s="13">
        <v>1500</v>
      </c>
      <c r="N15" s="35"/>
      <c r="P15" s="39" t="s">
        <v>19</v>
      </c>
      <c r="Q15" s="6">
        <f ca="1">DATE(2025,$A$2, RANDBETWEEN(1, 28))</f>
        <v>45762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Savings_4[[#This Row],[Planned]]-Savings_4[[#This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150</v>
      </c>
      <c r="D16" s="25">
        <f t="shared" ref="D16:D20" ca="1" si="1">C16-B16</f>
        <v>-150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149</v>
      </c>
      <c r="I16" s="28">
        <f t="shared" ref="I16:I23" ca="1" si="2">G16-H16</f>
        <v>51</v>
      </c>
      <c r="K16" s="33" t="s">
        <v>2</v>
      </c>
      <c r="L16" s="5">
        <f ca="1">DATE(2025,$A$2, 5)</f>
        <v>45752</v>
      </c>
      <c r="M16" s="13">
        <v>45</v>
      </c>
      <c r="N16" s="35"/>
      <c r="P16" s="39" t="s">
        <v>20</v>
      </c>
      <c r="Q16" s="6">
        <f ca="1">DATE(2025,$A$2, RANDBETWEEN(1, 28))</f>
        <v>45758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Savings_4[[#This Row],[Planned]]-Savings_4[[#This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50</v>
      </c>
      <c r="D17" s="25">
        <f t="shared" ca="1" si="1"/>
        <v>-450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1057.9000000000001</v>
      </c>
      <c r="I17" s="28">
        <f t="shared" ca="1" si="2"/>
        <v>-757.90000000000009</v>
      </c>
      <c r="K17" s="33" t="s">
        <v>15</v>
      </c>
      <c r="L17" s="5">
        <f ca="1">DATE(2025,$A$2, 5)</f>
        <v>45752</v>
      </c>
      <c r="M17" s="13">
        <v>30</v>
      </c>
      <c r="N17" s="35"/>
      <c r="P17" s="39" t="s">
        <v>21</v>
      </c>
      <c r="Q17" s="6">
        <f ca="1">DATE(2025,$A$2, RANDBETWEEN(1, 28))</f>
        <v>45771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Savings_4[[#This Row],[Planned]]-Savings_4[[#This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372.26</v>
      </c>
      <c r="I18" s="28">
        <f t="shared" ca="1" si="2"/>
        <v>377.74</v>
      </c>
      <c r="K18" s="33" t="s">
        <v>14</v>
      </c>
      <c r="L18" s="5">
        <f ca="1">DATE(2025,$A$2, 10)</f>
        <v>45757</v>
      </c>
      <c r="M18" s="13">
        <v>35</v>
      </c>
      <c r="N18" s="35"/>
      <c r="P18" s="39" t="s">
        <v>22</v>
      </c>
      <c r="Q18" s="6">
        <f ca="1">DATE(2025,$A$2, RANDBETWEEN(1, 28))</f>
        <v>45752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Savings_4[[#This Row],[Planned]]-Savings_4[[#This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23.5</v>
      </c>
      <c r="I19" s="28">
        <f t="shared" ca="1" si="2"/>
        <v>106.5</v>
      </c>
      <c r="K19" s="33" t="s">
        <v>16</v>
      </c>
      <c r="L19" s="5">
        <f ca="1">DATE(2025,$A$2, 10)</f>
        <v>45757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Savings_4[[#This Row],[Planned]]-Savings_4[[#This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49</v>
      </c>
      <c r="I20" s="28">
        <f t="shared" ca="1" si="2"/>
        <v>81</v>
      </c>
      <c r="K20" s="33" t="s">
        <v>17</v>
      </c>
      <c r="L20" s="5">
        <f ca="1">DATE(2025,$A$2, 10)</f>
        <v>45757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Savings_4[[#This Row],[Planned]]-Savings_4[[#This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100</v>
      </c>
      <c r="I21" s="28">
        <f t="shared" ca="1" si="2"/>
        <v>100</v>
      </c>
      <c r="K21" s="33" t="s">
        <v>18</v>
      </c>
      <c r="L21" s="5">
        <f ca="1">DATE(2025,$A$2, 10)</f>
        <v>45757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Savings_4[[#This Row],[Planned]]-Savings_4[[#This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139</v>
      </c>
      <c r="I22" s="28">
        <f t="shared" ca="1" si="2"/>
        <v>61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Savings_4[[#This Row],[Planned]]-Savings_4[[#This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82.5</v>
      </c>
      <c r="I23" s="28">
        <f t="shared" ca="1" si="2"/>
        <v>67.5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Savings_4[[#This Row],[Planned]]-Savings_4[[#This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Savings_4[[#This Row],[Planned]]-Savings_4[[#This Row],[Actual]]</f>
        <v>0</v>
      </c>
    </row>
    <row r="25" spans="1:24" ht="15" thickBot="1" x14ac:dyDescent="0.35">
      <c r="A25" s="21" t="s">
        <v>45</v>
      </c>
      <c r="B25" s="20">
        <f>SUBTOTAL(109,Income_4[Planned])</f>
        <v>5700</v>
      </c>
      <c r="C25" s="20">
        <f ca="1">SUBTOTAL(109,Income_4[Actual])</f>
        <v>4700</v>
      </c>
      <c r="D25" s="20">
        <f ca="1">SUBTOTAL(109,Income_4[Left])</f>
        <v>-1000</v>
      </c>
      <c r="E25" s="19"/>
      <c r="F25" s="22" t="s">
        <v>45</v>
      </c>
      <c r="G25" s="23">
        <f>SUBTOTAL(109,Expences_4[Planned])</f>
        <v>3800</v>
      </c>
      <c r="H25" s="23">
        <f ca="1">SUBTOTAL(109,Expences_4[Actual])</f>
        <v>3973.16</v>
      </c>
      <c r="I25" s="23">
        <f ca="1">SUBTOTAL(109,Expences_4[Left])</f>
        <v>-173.16000000000008</v>
      </c>
      <c r="K25" s="37" t="s">
        <v>45</v>
      </c>
      <c r="L25" s="37"/>
      <c r="M25" s="63">
        <f>SUBTOTAL(109,Bills_4[Planned])</f>
        <v>1740</v>
      </c>
      <c r="N25" s="38">
        <f>SUBTOTAL(109,Bills_4[Actual])</f>
        <v>0</v>
      </c>
      <c r="P25" s="43" t="s">
        <v>45</v>
      </c>
      <c r="Q25" s="44"/>
      <c r="R25" s="45">
        <f>SUBTOTAL(109,Subscriptions_4[Planned])</f>
        <v>93.67</v>
      </c>
      <c r="S25" s="45">
        <f>SUBTOTAL(109,Subscriptions_4[Actual])</f>
        <v>0</v>
      </c>
      <c r="U25" s="50" t="s">
        <v>45</v>
      </c>
      <c r="V25" s="51">
        <f>SUBTOTAL(109,Savings_4[Planned])</f>
        <v>1900</v>
      </c>
      <c r="W25" s="51">
        <f>SUBTOTAL(109,Savings_4[Actual])</f>
        <v>1000</v>
      </c>
      <c r="X25" s="51">
        <f>SUBTOTAL(109,Savings_4[Left])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588" priority="5" operator="lessThan">
      <formula>0</formula>
    </cfRule>
  </conditionalFormatting>
  <conditionalFormatting sqref="L15:L24">
    <cfRule type="cellIs" dxfId="587" priority="1" operator="equal">
      <formula>TODAY()</formula>
    </cfRule>
    <cfRule type="cellIs" dxfId="586" priority="2" operator="lessThan">
      <formula>TODAY()</formula>
    </cfRule>
  </conditionalFormatting>
  <conditionalFormatting sqref="Q15:Q24">
    <cfRule type="cellIs" dxfId="585" priority="3" operator="equal">
      <formula>TODAY()</formula>
    </cfRule>
    <cfRule type="cellIs" dxfId="58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7762-2367-4490-B5A8-7A7E65317596}">
  <sheetPr codeName="Sheet5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5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4500</v>
      </c>
      <c r="D5" s="8">
        <f ca="1">C5-B5</f>
        <v>-1200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3210</v>
      </c>
      <c r="D6" s="8">
        <f t="shared" ref="D6:D7" ca="1" si="0">B6-C6</f>
        <v>590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290</v>
      </c>
      <c r="D9" s="8">
        <f ca="1">D5+D6+D7</f>
        <v>290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45787</v>
      </c>
      <c r="M15" s="13">
        <v>1500</v>
      </c>
      <c r="N15" s="35"/>
      <c r="P15" s="39" t="s">
        <v>19</v>
      </c>
      <c r="Q15" s="6">
        <f ca="1">DATE(2025,$A$2, RANDBETWEEN(1, 28))</f>
        <v>45780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Savings_5[[#This Row],[Planned]]-Savings_5[[#This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0</v>
      </c>
      <c r="I16" s="28">
        <f t="shared" ref="I16:I23" ca="1" si="2">G16-H16</f>
        <v>200</v>
      </c>
      <c r="K16" s="33" t="s">
        <v>2</v>
      </c>
      <c r="L16" s="5">
        <f ca="1">DATE(2025,$A$2, 5)</f>
        <v>45782</v>
      </c>
      <c r="M16" s="13">
        <v>45</v>
      </c>
      <c r="N16" s="35"/>
      <c r="P16" s="39" t="s">
        <v>20</v>
      </c>
      <c r="Q16" s="6">
        <f ca="1">DATE(2025,$A$2, RANDBETWEEN(1, 28))</f>
        <v>45789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Savings_5[[#This Row],[Planned]]-Savings_5[[#This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80</v>
      </c>
      <c r="I17" s="28">
        <f t="shared" ca="1" si="2"/>
        <v>220</v>
      </c>
      <c r="K17" s="33" t="s">
        <v>15</v>
      </c>
      <c r="L17" s="5">
        <f ca="1">DATE(2025,$A$2, 5)</f>
        <v>45782</v>
      </c>
      <c r="M17" s="13">
        <v>30</v>
      </c>
      <c r="N17" s="35"/>
      <c r="P17" s="39" t="s">
        <v>21</v>
      </c>
      <c r="Q17" s="6">
        <f ca="1">DATE(2025,$A$2, RANDBETWEEN(1, 28))</f>
        <v>45798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Savings_5[[#This Row],[Planned]]-Savings_5[[#This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1000</v>
      </c>
      <c r="I18" s="28">
        <f t="shared" ca="1" si="2"/>
        <v>-250</v>
      </c>
      <c r="K18" s="33" t="s">
        <v>14</v>
      </c>
      <c r="L18" s="5">
        <f ca="1">DATE(2025,$A$2, 10)</f>
        <v>45787</v>
      </c>
      <c r="M18" s="13">
        <v>35</v>
      </c>
      <c r="N18" s="35"/>
      <c r="P18" s="39" t="s">
        <v>22</v>
      </c>
      <c r="Q18" s="6">
        <f ca="1">DATE(2025,$A$2, RANDBETWEEN(1, 28))</f>
        <v>45805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Savings_5[[#This Row],[Planned]]-Savings_5[[#This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0</v>
      </c>
      <c r="I19" s="28">
        <f t="shared" ca="1" si="2"/>
        <v>130</v>
      </c>
      <c r="K19" s="33" t="s">
        <v>16</v>
      </c>
      <c r="L19" s="5">
        <f ca="1">DATE(2025,$A$2, 10)</f>
        <v>45787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Savings_5[[#This Row],[Planned]]-Savings_5[[#This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50</v>
      </c>
      <c r="I20" s="28">
        <f t="shared" ca="1" si="2"/>
        <v>80</v>
      </c>
      <c r="K20" s="33" t="s">
        <v>17</v>
      </c>
      <c r="L20" s="5">
        <f ca="1">DATE(2025,$A$2, 10)</f>
        <v>45787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Savings_5[[#This Row],[Planned]]-Savings_5[[#This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45787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Savings_5[[#This Row],[Planned]]-Savings_5[[#This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Savings_5[[#This Row],[Planned]]-Savings_5[[#This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80</v>
      </c>
      <c r="I23" s="28">
        <f t="shared" ca="1" si="2"/>
        <v>70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Savings_5[[#This Row],[Planned]]-Savings_5[[#This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Savings_5[[#This Row],[Planned]]-Savings_5[[#This Row],[Actual]]</f>
        <v>0</v>
      </c>
    </row>
    <row r="25" spans="1:24" ht="15" thickBot="1" x14ac:dyDescent="0.35">
      <c r="A25" s="21" t="s">
        <v>45</v>
      </c>
      <c r="B25" s="20">
        <f>SUBTOTAL(109,Income_5[Planned])</f>
        <v>5700</v>
      </c>
      <c r="C25" s="20">
        <f ca="1">SUBTOTAL(109,Income_5[Actual])</f>
        <v>4500</v>
      </c>
      <c r="D25" s="20">
        <f ca="1">SUBTOTAL(109,Income_5[Left])</f>
        <v>-1200</v>
      </c>
      <c r="E25" s="19"/>
      <c r="F25" s="22" t="s">
        <v>45</v>
      </c>
      <c r="G25" s="23">
        <f>SUBTOTAL(109,Expences_5[Planned])</f>
        <v>3800</v>
      </c>
      <c r="H25" s="23">
        <f ca="1">SUBTOTAL(109,Expences_5[Actual])</f>
        <v>3210</v>
      </c>
      <c r="I25" s="23">
        <f ca="1">SUBTOTAL(109,Expences_5[Left])</f>
        <v>590</v>
      </c>
      <c r="K25" s="37" t="s">
        <v>45</v>
      </c>
      <c r="L25" s="37"/>
      <c r="M25" s="63">
        <f>SUBTOTAL(109,Bills_5[Planned])</f>
        <v>1740</v>
      </c>
      <c r="N25" s="38">
        <f>SUBTOTAL(109,Bills_5[Actual])</f>
        <v>0</v>
      </c>
      <c r="P25" s="43" t="s">
        <v>45</v>
      </c>
      <c r="Q25" s="44"/>
      <c r="R25" s="45">
        <f>SUBTOTAL(109,Subscriptions_5[Planned])</f>
        <v>93.67</v>
      </c>
      <c r="S25" s="45">
        <f>SUBTOTAL(109,Subscriptions_5[Actual])</f>
        <v>0</v>
      </c>
      <c r="U25" s="50" t="s">
        <v>45</v>
      </c>
      <c r="V25" s="51">
        <f>SUBTOTAL(109,Savings_5[Planned])</f>
        <v>1900</v>
      </c>
      <c r="W25" s="51">
        <f>SUBTOTAL(109,Savings_5[Actual])</f>
        <v>1000</v>
      </c>
      <c r="X25" s="51">
        <f>SUBTOTAL(109,Savings_5[Left])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523" priority="5" operator="lessThan">
      <formula>0</formula>
    </cfRule>
  </conditionalFormatting>
  <conditionalFormatting sqref="L15:L24">
    <cfRule type="cellIs" dxfId="522" priority="1" operator="equal">
      <formula>TODAY()</formula>
    </cfRule>
    <cfRule type="cellIs" dxfId="521" priority="2" operator="lessThan">
      <formula>TODAY()</formula>
    </cfRule>
  </conditionalFormatting>
  <conditionalFormatting sqref="Q15:Q24">
    <cfRule type="cellIs" dxfId="520" priority="3" operator="equal">
      <formula>TODAY()</formula>
    </cfRule>
    <cfRule type="cellIs" dxfId="519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6DF9-2BB7-4C1B-9C3C-55F722F73A5E}">
  <sheetPr codeName="Sheet6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6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4900</v>
      </c>
      <c r="D5" s="8">
        <f ca="1">C5-B5</f>
        <v>-800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3730</v>
      </c>
      <c r="D6" s="8">
        <f t="shared" ref="D6:D7" ca="1" si="0">B6-C6</f>
        <v>70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170</v>
      </c>
      <c r="D9" s="8">
        <f ca="1">D5+D6+D7</f>
        <v>170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400</v>
      </c>
      <c r="D15" s="25">
        <f ca="1">C15-B15</f>
        <v>-2100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45818</v>
      </c>
      <c r="M15" s="13">
        <v>1500</v>
      </c>
      <c r="N15" s="35"/>
      <c r="P15" s="39" t="s">
        <v>19</v>
      </c>
      <c r="Q15" s="6">
        <f ca="1">DATE(2025,$A$2, RANDBETWEEN(1, 28))</f>
        <v>45824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Savings_6[[#This Row],[Planned]]-Savings_6[[#This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300</v>
      </c>
      <c r="I16" s="28">
        <f t="shared" ref="I16:I23" ca="1" si="2">G16-H16</f>
        <v>-100</v>
      </c>
      <c r="K16" s="33" t="s">
        <v>2</v>
      </c>
      <c r="L16" s="5">
        <f ca="1">DATE(2025,$A$2, 5)</f>
        <v>45813</v>
      </c>
      <c r="M16" s="13">
        <v>45</v>
      </c>
      <c r="N16" s="35"/>
      <c r="P16" s="39" t="s">
        <v>20</v>
      </c>
      <c r="Q16" s="6">
        <f ca="1">DATE(2025,$A$2, RANDBETWEEN(1, 28))</f>
        <v>45809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Savings_6[[#This Row],[Planned]]-Savings_6[[#This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200</v>
      </c>
      <c r="I17" s="28">
        <f t="shared" ca="1" si="2"/>
        <v>100</v>
      </c>
      <c r="K17" s="33" t="s">
        <v>15</v>
      </c>
      <c r="L17" s="5">
        <f ca="1">DATE(2025,$A$2, 5)</f>
        <v>45813</v>
      </c>
      <c r="M17" s="13">
        <v>30</v>
      </c>
      <c r="N17" s="35"/>
      <c r="P17" s="39" t="s">
        <v>21</v>
      </c>
      <c r="Q17" s="6">
        <f ca="1">DATE(2025,$A$2, RANDBETWEEN(1, 28))</f>
        <v>45829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Savings_6[[#This Row],[Planned]]-Savings_6[[#This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1000</v>
      </c>
      <c r="I18" s="28">
        <f t="shared" ca="1" si="2"/>
        <v>-250</v>
      </c>
      <c r="K18" s="33" t="s">
        <v>14</v>
      </c>
      <c r="L18" s="5">
        <f ca="1">DATE(2025,$A$2, 10)</f>
        <v>45818</v>
      </c>
      <c r="M18" s="13">
        <v>35</v>
      </c>
      <c r="N18" s="35"/>
      <c r="P18" s="39" t="s">
        <v>22</v>
      </c>
      <c r="Q18" s="6">
        <f ca="1">DATE(2025,$A$2, RANDBETWEEN(1, 28))</f>
        <v>45813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Savings_6[[#This Row],[Planned]]-Savings_6[[#This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100</v>
      </c>
      <c r="I19" s="28">
        <f t="shared" ca="1" si="2"/>
        <v>30</v>
      </c>
      <c r="K19" s="33" t="s">
        <v>16</v>
      </c>
      <c r="L19" s="5">
        <f ca="1">DATE(2025,$A$2, 10)</f>
        <v>45818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Savings_6[[#This Row],[Planned]]-Savings_6[[#This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50</v>
      </c>
      <c r="I20" s="28">
        <f t="shared" ca="1" si="2"/>
        <v>80</v>
      </c>
      <c r="K20" s="33" t="s">
        <v>17</v>
      </c>
      <c r="L20" s="5">
        <f ca="1">DATE(2025,$A$2, 10)</f>
        <v>45818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Savings_6[[#This Row],[Planned]]-Savings_6[[#This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45818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Savings_6[[#This Row],[Planned]]-Savings_6[[#This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Savings_6[[#This Row],[Planned]]-Savings_6[[#This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80</v>
      </c>
      <c r="I23" s="28">
        <f t="shared" ca="1" si="2"/>
        <v>70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Savings_6[[#This Row],[Planned]]-Savings_6[[#This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Savings_6[[#This Row],[Planned]]-Savings_6[[#This Row],[Actual]]</f>
        <v>0</v>
      </c>
    </row>
    <row r="25" spans="1:24" ht="15" thickBot="1" x14ac:dyDescent="0.35">
      <c r="A25" s="21" t="s">
        <v>45</v>
      </c>
      <c r="B25" s="20">
        <f>SUBTOTAL(109,Income_6[Planned])</f>
        <v>5700</v>
      </c>
      <c r="C25" s="20">
        <f ca="1">SUBTOTAL(109,Income_6[Actual])</f>
        <v>4900</v>
      </c>
      <c r="D25" s="20">
        <f ca="1">SUBTOTAL(109,Income_6[Left])</f>
        <v>-800</v>
      </c>
      <c r="E25" s="19"/>
      <c r="F25" s="22" t="s">
        <v>45</v>
      </c>
      <c r="G25" s="23">
        <f>SUBTOTAL(109,Expences_6[Planned])</f>
        <v>3800</v>
      </c>
      <c r="H25" s="23">
        <f ca="1">SUBTOTAL(109,Expences_6[Actual])</f>
        <v>3730</v>
      </c>
      <c r="I25" s="23">
        <f ca="1">SUBTOTAL(109,Expences_6[Left])</f>
        <v>70</v>
      </c>
      <c r="K25" s="37" t="s">
        <v>45</v>
      </c>
      <c r="L25" s="37"/>
      <c r="M25" s="63">
        <f>SUBTOTAL(109,Bills_6[Planned])</f>
        <v>1740</v>
      </c>
      <c r="N25" s="38">
        <f>SUBTOTAL(109,Bills_6[Actual])</f>
        <v>0</v>
      </c>
      <c r="P25" s="43" t="s">
        <v>45</v>
      </c>
      <c r="Q25" s="44"/>
      <c r="R25" s="45">
        <f>SUBTOTAL(109,Subscriptions_6[Planned])</f>
        <v>93.67</v>
      </c>
      <c r="S25" s="45">
        <f>SUBTOTAL(109,Subscriptions_6[Actual])</f>
        <v>0</v>
      </c>
      <c r="U25" s="50" t="s">
        <v>45</v>
      </c>
      <c r="V25" s="51">
        <f>SUBTOTAL(109,Savings_6[Planned])</f>
        <v>1900</v>
      </c>
      <c r="W25" s="51">
        <f>SUBTOTAL(109,Savings_6[Actual])</f>
        <v>1000</v>
      </c>
      <c r="X25" s="51">
        <f>SUBTOTAL(109,Savings_6[Left])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458" priority="5" operator="lessThan">
      <formula>0</formula>
    </cfRule>
  </conditionalFormatting>
  <conditionalFormatting sqref="L15:L24">
    <cfRule type="cellIs" dxfId="457" priority="1" operator="equal">
      <formula>TODAY()</formula>
    </cfRule>
    <cfRule type="cellIs" dxfId="456" priority="2" operator="lessThan">
      <formula>TODAY()</formula>
    </cfRule>
  </conditionalFormatting>
  <conditionalFormatting sqref="Q15:Q24">
    <cfRule type="cellIs" dxfId="455" priority="3" operator="equal">
      <formula>TODAY()</formula>
    </cfRule>
    <cfRule type="cellIs" dxfId="45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FB8E9-B2B2-4A56-A2C7-86312904DAEF}">
  <sheetPr codeName="Sheet7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7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5920</v>
      </c>
      <c r="D5" s="8">
        <f ca="1">C5-B5</f>
        <v>220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3005</v>
      </c>
      <c r="D6" s="8">
        <f t="shared" ref="D6:D7" ca="1" si="0">B6-C6</f>
        <v>795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1915</v>
      </c>
      <c r="D9" s="8">
        <f ca="1">D5+D6+D7</f>
        <v>1915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45848</v>
      </c>
      <c r="M15" s="13">
        <v>1500</v>
      </c>
      <c r="N15" s="35"/>
      <c r="P15" s="39" t="s">
        <v>19</v>
      </c>
      <c r="Q15" s="6">
        <f ca="1">DATE(2025,$A$2, RANDBETWEEN(1, 28))</f>
        <v>45846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Savings_7[[#This Row],[Planned]]-Savings_7[[#This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120</v>
      </c>
      <c r="D16" s="25">
        <f t="shared" ref="D16:D20" ca="1" si="1">C16-B16</f>
        <v>-180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-250</v>
      </c>
      <c r="I16" s="28">
        <f t="shared" ref="I16:I23" ca="1" si="2">G16-H16</f>
        <v>450</v>
      </c>
      <c r="K16" s="33" t="s">
        <v>2</v>
      </c>
      <c r="L16" s="5">
        <f ca="1">DATE(2025,$A$2, 5)</f>
        <v>45843</v>
      </c>
      <c r="M16" s="13">
        <v>45</v>
      </c>
      <c r="N16" s="35"/>
      <c r="P16" s="39" t="s">
        <v>20</v>
      </c>
      <c r="Q16" s="6">
        <f ca="1">DATE(2025,$A$2, RANDBETWEEN(1, 28))</f>
        <v>45862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Savings_7[[#This Row],[Planned]]-Savings_7[[#This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800</v>
      </c>
      <c r="D17" s="25">
        <f t="shared" ca="1" si="1"/>
        <v>300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700</v>
      </c>
      <c r="I17" s="28">
        <f t="shared" ca="1" si="2"/>
        <v>-400</v>
      </c>
      <c r="K17" s="33" t="s">
        <v>15</v>
      </c>
      <c r="L17" s="5">
        <f ca="1">DATE(2025,$A$2, 5)</f>
        <v>45843</v>
      </c>
      <c r="M17" s="13">
        <v>30</v>
      </c>
      <c r="N17" s="35"/>
      <c r="P17" s="39" t="s">
        <v>21</v>
      </c>
      <c r="Q17" s="6">
        <f ca="1">DATE(2025,$A$2, RANDBETWEEN(1, 28))</f>
        <v>45853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Savings_7[[#This Row],[Planned]]-Savings_7[[#This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165</v>
      </c>
      <c r="I18" s="28">
        <f t="shared" ca="1" si="2"/>
        <v>585</v>
      </c>
      <c r="K18" s="33" t="s">
        <v>14</v>
      </c>
      <c r="L18" s="5">
        <f ca="1">DATE(2025,$A$2, 10)</f>
        <v>45848</v>
      </c>
      <c r="M18" s="13">
        <v>35</v>
      </c>
      <c r="N18" s="35"/>
      <c r="P18" s="39" t="s">
        <v>22</v>
      </c>
      <c r="Q18" s="6">
        <f ca="1">DATE(2025,$A$2, RANDBETWEEN(1, 28))</f>
        <v>45843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Savings_7[[#This Row],[Planned]]-Savings_7[[#This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300</v>
      </c>
      <c r="I19" s="28">
        <f t="shared" ca="1" si="2"/>
        <v>-170</v>
      </c>
      <c r="K19" s="33" t="s">
        <v>16</v>
      </c>
      <c r="L19" s="5">
        <f ca="1">DATE(2025,$A$2, 10)</f>
        <v>45848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Savings_7[[#This Row],[Planned]]-Savings_7[[#This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500</v>
      </c>
      <c r="D20" s="25">
        <f t="shared" ca="1" si="1"/>
        <v>-300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0</v>
      </c>
      <c r="I20" s="28">
        <f t="shared" ca="1" si="2"/>
        <v>130</v>
      </c>
      <c r="K20" s="33" t="s">
        <v>17</v>
      </c>
      <c r="L20" s="5">
        <f ca="1">DATE(2025,$A$2, 10)</f>
        <v>45848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Savings_7[[#This Row],[Planned]]-Savings_7[[#This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45848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Savings_7[[#This Row],[Planned]]-Savings_7[[#This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Savings_7[[#This Row],[Planned]]-Savings_7[[#This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90</v>
      </c>
      <c r="I23" s="28">
        <f t="shared" ca="1" si="2"/>
        <v>60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Savings_7[[#This Row],[Planned]]-Savings_7[[#This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Savings_7[[#This Row],[Planned]]-Savings_7[[#This Row],[Actual]]</f>
        <v>0</v>
      </c>
    </row>
    <row r="25" spans="1:24" ht="15" thickBot="1" x14ac:dyDescent="0.35">
      <c r="A25" s="21" t="s">
        <v>45</v>
      </c>
      <c r="B25" s="20">
        <f>SUBTOTAL(109,Income_7[Planned])</f>
        <v>5700</v>
      </c>
      <c r="C25" s="20">
        <f ca="1">SUBTOTAL(109,Income_7[Actual])</f>
        <v>5920</v>
      </c>
      <c r="D25" s="20">
        <f ca="1">SUBTOTAL(109,Income_7[Left])</f>
        <v>220</v>
      </c>
      <c r="E25" s="19"/>
      <c r="F25" s="22" t="s">
        <v>45</v>
      </c>
      <c r="G25" s="23">
        <f>SUBTOTAL(109,Expences_7[Planned])</f>
        <v>3800</v>
      </c>
      <c r="H25" s="23">
        <f ca="1">SUBTOTAL(109,Expences_7[Actual])</f>
        <v>3005</v>
      </c>
      <c r="I25" s="23">
        <f ca="1">SUBTOTAL(109,Expences_7[Left])</f>
        <v>795</v>
      </c>
      <c r="K25" s="37" t="s">
        <v>45</v>
      </c>
      <c r="L25" s="37"/>
      <c r="M25" s="63">
        <f>SUBTOTAL(109,Bills_7[Planned])</f>
        <v>1740</v>
      </c>
      <c r="N25" s="38">
        <f>SUBTOTAL(109,Bills_7[Actual])</f>
        <v>0</v>
      </c>
      <c r="P25" s="43" t="s">
        <v>45</v>
      </c>
      <c r="Q25" s="44"/>
      <c r="R25" s="45">
        <f>SUBTOTAL(109,Subscriptions_7[Planned])</f>
        <v>93.67</v>
      </c>
      <c r="S25" s="45">
        <f>SUBTOTAL(109,Subscriptions_7[Actual])</f>
        <v>0</v>
      </c>
      <c r="U25" s="50" t="s">
        <v>45</v>
      </c>
      <c r="V25" s="51">
        <f>SUBTOTAL(109,Savings_7[Planned])</f>
        <v>1900</v>
      </c>
      <c r="W25" s="51">
        <f>SUBTOTAL(109,Savings_7[Actual])</f>
        <v>1000</v>
      </c>
      <c r="X25" s="51">
        <f>SUBTOTAL(109,Savings_7[Left])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393" priority="5" operator="lessThan">
      <formula>0</formula>
    </cfRule>
  </conditionalFormatting>
  <conditionalFormatting sqref="L15:L24">
    <cfRule type="cellIs" dxfId="392" priority="1" operator="equal">
      <formula>TODAY()</formula>
    </cfRule>
    <cfRule type="cellIs" dxfId="391" priority="2" operator="lessThan">
      <formula>TODAY()</formula>
    </cfRule>
  </conditionalFormatting>
  <conditionalFormatting sqref="Q15:Q24">
    <cfRule type="cellIs" dxfId="390" priority="3" operator="equal">
      <formula>TODAY()</formula>
    </cfRule>
    <cfRule type="cellIs" dxfId="389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1F5E-F40B-4FAC-AC9C-36471369C591}">
  <sheetPr codeName="Sheet8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8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5400</v>
      </c>
      <c r="D5" s="8">
        <f ca="1">C5-B5</f>
        <v>-300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3989.5</v>
      </c>
      <c r="D6" s="8">
        <f t="shared" ref="D6:D7" ca="1" si="0">B6-C6</f>
        <v>-189.5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410.5</v>
      </c>
      <c r="D9" s="8">
        <f ca="1">D5+D6+D7</f>
        <v>410.5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45879</v>
      </c>
      <c r="M15" s="13">
        <v>1500</v>
      </c>
      <c r="N15" s="35"/>
      <c r="P15" s="39" t="s">
        <v>19</v>
      </c>
      <c r="Q15" s="6">
        <f ca="1">DATE(2025,$A$2, RANDBETWEEN(1, 28))</f>
        <v>45888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Savings_8[[#This Row],[Planned]]-Savings_8[[#This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300</v>
      </c>
      <c r="I16" s="28">
        <f t="shared" ref="I16:I23" ca="1" si="2">G16-H16</f>
        <v>-100</v>
      </c>
      <c r="K16" s="33" t="s">
        <v>2</v>
      </c>
      <c r="L16" s="5">
        <f ca="1">DATE(2025,$A$2, 5)</f>
        <v>45874</v>
      </c>
      <c r="M16" s="13">
        <v>45</v>
      </c>
      <c r="N16" s="35"/>
      <c r="P16" s="39" t="s">
        <v>20</v>
      </c>
      <c r="Q16" s="6">
        <f ca="1">DATE(2025,$A$2, RANDBETWEEN(1, 28))</f>
        <v>45896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Savings_8[[#This Row],[Planned]]-Savings_8[[#This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400</v>
      </c>
      <c r="D17" s="25">
        <f t="shared" ca="1" si="1"/>
        <v>-100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250</v>
      </c>
      <c r="I17" s="28">
        <f t="shared" ca="1" si="2"/>
        <v>50</v>
      </c>
      <c r="K17" s="33" t="s">
        <v>15</v>
      </c>
      <c r="L17" s="5">
        <f ca="1">DATE(2025,$A$2, 5)</f>
        <v>45874</v>
      </c>
      <c r="M17" s="13">
        <v>30</v>
      </c>
      <c r="N17" s="35"/>
      <c r="P17" s="39" t="s">
        <v>21</v>
      </c>
      <c r="Q17" s="6">
        <f ca="1">DATE(2025,$A$2, RANDBETWEEN(1, 28))</f>
        <v>45889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Savings_8[[#This Row],[Planned]]-Savings_8[[#This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749.5</v>
      </c>
      <c r="I18" s="28">
        <f t="shared" ca="1" si="2"/>
        <v>0.5</v>
      </c>
      <c r="K18" s="33" t="s">
        <v>14</v>
      </c>
      <c r="L18" s="5">
        <f ca="1">DATE(2025,$A$2, 10)</f>
        <v>45879</v>
      </c>
      <c r="M18" s="13">
        <v>35</v>
      </c>
      <c r="N18" s="35"/>
      <c r="P18" s="39" t="s">
        <v>22</v>
      </c>
      <c r="Q18" s="6">
        <f ca="1">DATE(2025,$A$2, RANDBETWEEN(1, 28))</f>
        <v>45895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Savings_8[[#This Row],[Planned]]-Savings_8[[#This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400</v>
      </c>
      <c r="I19" s="28">
        <f t="shared" ca="1" si="2"/>
        <v>-270</v>
      </c>
      <c r="K19" s="33" t="s">
        <v>16</v>
      </c>
      <c r="L19" s="5">
        <f ca="1">DATE(2025,$A$2, 10)</f>
        <v>45879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Savings_8[[#This Row],[Planned]]-Savings_8[[#This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500</v>
      </c>
      <c r="D20" s="25">
        <f t="shared" ca="1" si="1"/>
        <v>-300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0</v>
      </c>
      <c r="I20" s="28">
        <f t="shared" ca="1" si="2"/>
        <v>130</v>
      </c>
      <c r="K20" s="33" t="s">
        <v>17</v>
      </c>
      <c r="L20" s="5">
        <f ca="1">DATE(2025,$A$2, 10)</f>
        <v>45879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Savings_8[[#This Row],[Planned]]-Savings_8[[#This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45879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Savings_8[[#This Row],[Planned]]-Savings_8[[#This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Savings_8[[#This Row],[Planned]]-Savings_8[[#This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290</v>
      </c>
      <c r="I23" s="28">
        <f t="shared" ca="1" si="2"/>
        <v>-140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Savings_8[[#This Row],[Planned]]-Savings_8[[#This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Savings_8[[#This Row],[Planned]]-Savings_8[[#This Row],[Actual]]</f>
        <v>0</v>
      </c>
    </row>
    <row r="25" spans="1:24" ht="15" thickBot="1" x14ac:dyDescent="0.35">
      <c r="A25" s="21" t="s">
        <v>45</v>
      </c>
      <c r="B25" s="20">
        <f>SUBTOTAL(109,Income_8[Planned])</f>
        <v>5700</v>
      </c>
      <c r="C25" s="20">
        <f ca="1">SUBTOTAL(109,Income_8[Actual])</f>
        <v>5400</v>
      </c>
      <c r="D25" s="20">
        <f ca="1">SUBTOTAL(109,Income_8[Left])</f>
        <v>-300</v>
      </c>
      <c r="E25" s="19"/>
      <c r="F25" s="22" t="s">
        <v>45</v>
      </c>
      <c r="G25" s="23">
        <f>SUBTOTAL(109,Expences_8[Planned])</f>
        <v>3800</v>
      </c>
      <c r="H25" s="23">
        <f ca="1">SUBTOTAL(109,Expences_8[Actual])</f>
        <v>3989.5</v>
      </c>
      <c r="I25" s="23">
        <f ca="1">SUBTOTAL(109,Expences_8[Left])</f>
        <v>-189.5</v>
      </c>
      <c r="K25" s="37" t="s">
        <v>45</v>
      </c>
      <c r="L25" s="37"/>
      <c r="M25" s="63">
        <f>SUBTOTAL(109,Bills_8[Planned])</f>
        <v>1740</v>
      </c>
      <c r="N25" s="38">
        <f>SUBTOTAL(109,Bills_8[Actual])</f>
        <v>0</v>
      </c>
      <c r="P25" s="43" t="s">
        <v>45</v>
      </c>
      <c r="Q25" s="44"/>
      <c r="R25" s="45">
        <f>SUBTOTAL(109,Subscriptions_8[Planned])</f>
        <v>93.67</v>
      </c>
      <c r="S25" s="45">
        <f>SUBTOTAL(109,Subscriptions_8[Actual])</f>
        <v>0</v>
      </c>
      <c r="U25" s="50" t="s">
        <v>45</v>
      </c>
      <c r="V25" s="51">
        <f>SUBTOTAL(109,Savings_8[Planned])</f>
        <v>1900</v>
      </c>
      <c r="W25" s="51">
        <f>SUBTOTAL(109,Savings_8[Actual])</f>
        <v>1000</v>
      </c>
      <c r="X25" s="51">
        <f>SUBTOTAL(109,Savings_8[Left])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328" priority="5" operator="lessThan">
      <formula>0</formula>
    </cfRule>
  </conditionalFormatting>
  <conditionalFormatting sqref="L15:L24">
    <cfRule type="cellIs" dxfId="327" priority="1" operator="equal">
      <formula>TODAY()</formula>
    </cfRule>
    <cfRule type="cellIs" dxfId="326" priority="2" operator="lessThan">
      <formula>TODAY()</formula>
    </cfRule>
  </conditionalFormatting>
  <conditionalFormatting sqref="Q15:Q24">
    <cfRule type="cellIs" dxfId="325" priority="3" operator="equal">
      <formula>TODAY()</formula>
    </cfRule>
    <cfRule type="cellIs" dxfId="32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EC7AD-FFD4-4ECA-AF79-4946A0A4DCF8}">
  <sheetPr codeName="Sheet9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9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4500</v>
      </c>
      <c r="D5" s="8">
        <f ca="1">C5-B5</f>
        <v>-1200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2748.5</v>
      </c>
      <c r="D6" s="8">
        <f t="shared" ref="D6:D7" ca="1" si="0">B6-C6</f>
        <v>1051.5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751.5</v>
      </c>
      <c r="D9" s="8">
        <f ca="1">D5+D6+D7</f>
        <v>751.5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45910</v>
      </c>
      <c r="M15" s="13">
        <v>1500</v>
      </c>
      <c r="N15" s="35"/>
      <c r="P15" s="39" t="s">
        <v>19</v>
      </c>
      <c r="Q15" s="6">
        <f ca="1">DATE(2025,$A$2, RANDBETWEEN(1, 28))</f>
        <v>45925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Savings_9[[#This Row],[Planned]]-Savings_9[[#This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0</v>
      </c>
      <c r="I16" s="28">
        <f t="shared" ref="I16:I23" ca="1" si="2">G16-H16</f>
        <v>200</v>
      </c>
      <c r="K16" s="33" t="s">
        <v>2</v>
      </c>
      <c r="L16" s="5">
        <f ca="1">DATE(2025,$A$2, 5)</f>
        <v>45905</v>
      </c>
      <c r="M16" s="13">
        <v>45</v>
      </c>
      <c r="N16" s="35"/>
      <c r="P16" s="39" t="s">
        <v>20</v>
      </c>
      <c r="Q16" s="6">
        <f ca="1">DATE(2025,$A$2, RANDBETWEEN(1, 28))</f>
        <v>45901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Savings_9[[#This Row],[Planned]]-Savings_9[[#This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20</v>
      </c>
      <c r="I17" s="28">
        <f t="shared" ca="1" si="2"/>
        <v>280</v>
      </c>
      <c r="K17" s="33" t="s">
        <v>15</v>
      </c>
      <c r="L17" s="5">
        <f ca="1">DATE(2025,$A$2, 5)</f>
        <v>45905</v>
      </c>
      <c r="M17" s="13">
        <v>30</v>
      </c>
      <c r="N17" s="35"/>
      <c r="P17" s="39" t="s">
        <v>21</v>
      </c>
      <c r="Q17" s="6">
        <f ca="1">DATE(2025,$A$2, RANDBETWEEN(1, 28))</f>
        <v>45926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Savings_9[[#This Row],[Planned]]-Savings_9[[#This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538.5</v>
      </c>
      <c r="I18" s="28">
        <f t="shared" ca="1" si="2"/>
        <v>211.5</v>
      </c>
      <c r="K18" s="33" t="s">
        <v>14</v>
      </c>
      <c r="L18" s="5">
        <f ca="1">DATE(2025,$A$2, 10)</f>
        <v>45910</v>
      </c>
      <c r="M18" s="13">
        <v>35</v>
      </c>
      <c r="N18" s="35"/>
      <c r="P18" s="39" t="s">
        <v>22</v>
      </c>
      <c r="Q18" s="6">
        <f ca="1">DATE(2025,$A$2, RANDBETWEEN(1, 28))</f>
        <v>45922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Savings_9[[#This Row],[Planned]]-Savings_9[[#This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0</v>
      </c>
      <c r="I19" s="28">
        <f t="shared" ca="1" si="2"/>
        <v>130</v>
      </c>
      <c r="K19" s="33" t="s">
        <v>16</v>
      </c>
      <c r="L19" s="5">
        <f ca="1">DATE(2025,$A$2, 10)</f>
        <v>45910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Savings_9[[#This Row],[Planned]]-Savings_9[[#This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40</v>
      </c>
      <c r="I20" s="28">
        <f t="shared" ca="1" si="2"/>
        <v>90</v>
      </c>
      <c r="K20" s="33" t="s">
        <v>17</v>
      </c>
      <c r="L20" s="5">
        <f ca="1">DATE(2025,$A$2, 10)</f>
        <v>45910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Savings_9[[#This Row],[Planned]]-Savings_9[[#This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45910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Savings_9[[#This Row],[Planned]]-Savings_9[[#This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Savings_9[[#This Row],[Planned]]-Savings_9[[#This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150</v>
      </c>
      <c r="I23" s="28">
        <f t="shared" ca="1" si="2"/>
        <v>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Savings_9[[#This Row],[Planned]]-Savings_9[[#This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Savings_9[[#This Row],[Planned]]-Savings_9[[#This Row],[Actual]]</f>
        <v>0</v>
      </c>
    </row>
    <row r="25" spans="1:24" ht="15" thickBot="1" x14ac:dyDescent="0.35">
      <c r="A25" s="21" t="s">
        <v>45</v>
      </c>
      <c r="B25" s="20">
        <f>SUBTOTAL(109,Income_9[Planned])</f>
        <v>5700</v>
      </c>
      <c r="C25" s="20">
        <f ca="1">SUBTOTAL(109,Income_9[Actual])</f>
        <v>4500</v>
      </c>
      <c r="D25" s="20">
        <f ca="1">SUBTOTAL(109,Income_9[Left])</f>
        <v>-1200</v>
      </c>
      <c r="E25" s="19"/>
      <c r="F25" s="22" t="s">
        <v>45</v>
      </c>
      <c r="G25" s="23">
        <f>SUBTOTAL(109,Expences_9[Planned])</f>
        <v>3800</v>
      </c>
      <c r="H25" s="23">
        <f ca="1">SUBTOTAL(109,Expences_9[Actual])</f>
        <v>2748.5</v>
      </c>
      <c r="I25" s="23">
        <f ca="1">SUBTOTAL(109,Expences_9[Left])</f>
        <v>1051.5</v>
      </c>
      <c r="K25" s="37" t="s">
        <v>45</v>
      </c>
      <c r="L25" s="37"/>
      <c r="M25" s="63">
        <f>SUBTOTAL(109,Bills_9[Planned])</f>
        <v>1740</v>
      </c>
      <c r="N25" s="38">
        <f>SUBTOTAL(109,Bills_9[Actual])</f>
        <v>0</v>
      </c>
      <c r="P25" s="43" t="s">
        <v>45</v>
      </c>
      <c r="Q25" s="44"/>
      <c r="R25" s="45">
        <f>SUBTOTAL(109,Subscriptions_9[Planned])</f>
        <v>93.67</v>
      </c>
      <c r="S25" s="45">
        <f>SUBTOTAL(109,Subscriptions_9[Actual])</f>
        <v>0</v>
      </c>
      <c r="U25" s="50" t="s">
        <v>45</v>
      </c>
      <c r="V25" s="51">
        <f>SUBTOTAL(109,Savings_9[Planned])</f>
        <v>1900</v>
      </c>
      <c r="W25" s="51">
        <f>SUBTOTAL(109,Savings_9[Actual])</f>
        <v>1000</v>
      </c>
      <c r="X25" s="51">
        <f>SUBTOTAL(109,Savings_9[Left])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263" priority="5" operator="lessThan">
      <formula>0</formula>
    </cfRule>
  </conditionalFormatting>
  <conditionalFormatting sqref="L15:L24">
    <cfRule type="cellIs" dxfId="262" priority="1" operator="equal">
      <formula>TODAY()</formula>
    </cfRule>
    <cfRule type="cellIs" dxfId="261" priority="2" operator="lessThan">
      <formula>TODAY()</formula>
    </cfRule>
  </conditionalFormatting>
  <conditionalFormatting sqref="Q15:Q24">
    <cfRule type="cellIs" dxfId="260" priority="3" operator="equal">
      <formula>TODAY()</formula>
    </cfRule>
    <cfRule type="cellIs" dxfId="259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99D80-7CC7-4670-AA33-72A9A9C6C3A8}">
  <sheetPr codeName="Sheet10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10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4500</v>
      </c>
      <c r="D5" s="8">
        <f ca="1">C5-B5</f>
        <v>-1200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2830</v>
      </c>
      <c r="D6" s="8">
        <f t="shared" ref="D6:D7" ca="1" si="0">B6-C6</f>
        <v>970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670</v>
      </c>
      <c r="D9" s="8">
        <f ca="1">D5+D6+D7</f>
        <v>670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45940</v>
      </c>
      <c r="M15" s="13">
        <v>1500</v>
      </c>
      <c r="N15" s="35"/>
      <c r="P15" s="39" t="s">
        <v>19</v>
      </c>
      <c r="Q15" s="6">
        <f ca="1">DATE(2025,$A$2, RANDBETWEEN(1, 28))</f>
        <v>45944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Savings_10[[#This Row],[Planned]]-Savings_10[[#This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0</v>
      </c>
      <c r="I16" s="28">
        <f t="shared" ref="I16:I23" ca="1" si="2">G16-H16</f>
        <v>200</v>
      </c>
      <c r="K16" s="33" t="s">
        <v>2</v>
      </c>
      <c r="L16" s="5">
        <f ca="1">DATE(2025,$A$2, 5)</f>
        <v>45935</v>
      </c>
      <c r="M16" s="13">
        <v>45</v>
      </c>
      <c r="N16" s="35"/>
      <c r="P16" s="39" t="s">
        <v>20</v>
      </c>
      <c r="Q16" s="6">
        <f ca="1">DATE(2025,$A$2, RANDBETWEEN(1, 28))</f>
        <v>45947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Savings_10[[#This Row],[Planned]]-Savings_10[[#This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0</v>
      </c>
      <c r="D17" s="25">
        <f t="shared" ca="1" si="1"/>
        <v>-500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40</v>
      </c>
      <c r="I17" s="28">
        <f t="shared" ca="1" si="2"/>
        <v>260</v>
      </c>
      <c r="K17" s="33" t="s">
        <v>15</v>
      </c>
      <c r="L17" s="5">
        <f ca="1">DATE(2025,$A$2, 5)</f>
        <v>45935</v>
      </c>
      <c r="M17" s="13">
        <v>30</v>
      </c>
      <c r="N17" s="35"/>
      <c r="P17" s="39" t="s">
        <v>21</v>
      </c>
      <c r="Q17" s="6">
        <f ca="1">DATE(2025,$A$2, RANDBETWEEN(1, 28))</f>
        <v>45953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Savings_10[[#This Row],[Planned]]-Savings_10[[#This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600</v>
      </c>
      <c r="I18" s="28">
        <f t="shared" ca="1" si="2"/>
        <v>150</v>
      </c>
      <c r="K18" s="33" t="s">
        <v>14</v>
      </c>
      <c r="L18" s="5">
        <f ca="1">DATE(2025,$A$2, 10)</f>
        <v>45940</v>
      </c>
      <c r="M18" s="13">
        <v>35</v>
      </c>
      <c r="N18" s="35"/>
      <c r="P18" s="39" t="s">
        <v>22</v>
      </c>
      <c r="Q18" s="6">
        <f ca="1">DATE(2025,$A$2, RANDBETWEEN(1, 28))</f>
        <v>45931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Savings_10[[#This Row],[Planned]]-Savings_10[[#This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0</v>
      </c>
      <c r="I19" s="28">
        <f t="shared" ca="1" si="2"/>
        <v>130</v>
      </c>
      <c r="K19" s="33" t="s">
        <v>16</v>
      </c>
      <c r="L19" s="5">
        <f ca="1">DATE(2025,$A$2, 10)</f>
        <v>45940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Savings_10[[#This Row],[Planned]]-Savings_10[[#This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40</v>
      </c>
      <c r="I20" s="28">
        <f t="shared" ca="1" si="2"/>
        <v>90</v>
      </c>
      <c r="K20" s="33" t="s">
        <v>17</v>
      </c>
      <c r="L20" s="5">
        <f ca="1">DATE(2025,$A$2, 10)</f>
        <v>45940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Savings_10[[#This Row],[Planned]]-Savings_10[[#This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0</v>
      </c>
      <c r="I21" s="28">
        <f t="shared" ca="1" si="2"/>
        <v>200</v>
      </c>
      <c r="K21" s="33" t="s">
        <v>18</v>
      </c>
      <c r="L21" s="5">
        <f ca="1">DATE(2025,$A$2, 10)</f>
        <v>45940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Savings_10[[#This Row],[Planned]]-Savings_10[[#This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Savings_10[[#This Row],[Planned]]-Savings_10[[#This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150</v>
      </c>
      <c r="I23" s="28">
        <f t="shared" ca="1" si="2"/>
        <v>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Savings_10[[#This Row],[Planned]]-Savings_10[[#This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Savings_10[[#This Row],[Planned]]-Savings_10[[#This Row],[Actual]]</f>
        <v>0</v>
      </c>
    </row>
    <row r="25" spans="1:24" ht="15" thickBot="1" x14ac:dyDescent="0.35">
      <c r="A25" s="21" t="s">
        <v>45</v>
      </c>
      <c r="B25" s="20">
        <f>SUBTOTAL(109,Income_10[Planned])</f>
        <v>5700</v>
      </c>
      <c r="C25" s="20">
        <f ca="1">SUBTOTAL(109,Income_10[Actual])</f>
        <v>4500</v>
      </c>
      <c r="D25" s="20">
        <f ca="1">SUBTOTAL(109,Income_10[Left])</f>
        <v>-1200</v>
      </c>
      <c r="E25" s="19"/>
      <c r="F25" s="22" t="s">
        <v>45</v>
      </c>
      <c r="G25" s="23">
        <f>SUBTOTAL(109,Expences_10[Planned])</f>
        <v>3800</v>
      </c>
      <c r="H25" s="23">
        <f ca="1">SUBTOTAL(109,Expences_10[Actual])</f>
        <v>2830</v>
      </c>
      <c r="I25" s="23">
        <f ca="1">SUBTOTAL(109,Expences_10[Left])</f>
        <v>970</v>
      </c>
      <c r="K25" s="37" t="s">
        <v>45</v>
      </c>
      <c r="L25" s="37"/>
      <c r="M25" s="63">
        <f>SUBTOTAL(109,Bills_10[Planned])</f>
        <v>1740</v>
      </c>
      <c r="N25" s="38">
        <f>SUBTOTAL(109,Bills_10[Actual])</f>
        <v>0</v>
      </c>
      <c r="P25" s="43" t="s">
        <v>45</v>
      </c>
      <c r="Q25" s="44"/>
      <c r="R25" s="45">
        <f>SUBTOTAL(109,Subscriptions_10[Planned])</f>
        <v>93.67</v>
      </c>
      <c r="S25" s="45">
        <f>SUBTOTAL(109,Subscriptions_10[Actual])</f>
        <v>0</v>
      </c>
      <c r="U25" s="50" t="s">
        <v>45</v>
      </c>
      <c r="V25" s="51">
        <f>SUBTOTAL(109,Savings_10[Planned])</f>
        <v>1900</v>
      </c>
      <c r="W25" s="51">
        <f>SUBTOTAL(109,Savings_10[Actual])</f>
        <v>1000</v>
      </c>
      <c r="X25" s="51">
        <f>SUBTOTAL(109,Savings_10[Left])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198" priority="5" operator="lessThan">
      <formula>0</formula>
    </cfRule>
  </conditionalFormatting>
  <conditionalFormatting sqref="L15:L24">
    <cfRule type="cellIs" dxfId="197" priority="1" operator="equal">
      <formula>TODAY()</formula>
    </cfRule>
    <cfRule type="cellIs" dxfId="196" priority="2" operator="lessThan">
      <formula>TODAY()</formula>
    </cfRule>
  </conditionalFormatting>
  <conditionalFormatting sqref="Q15:Q24">
    <cfRule type="cellIs" dxfId="195" priority="3" operator="equal">
      <formula>TODAY()</formula>
    </cfRule>
    <cfRule type="cellIs" dxfId="19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2834A-6CCB-4AB5-91E9-9026A5D68F6E}">
  <sheetPr codeName="Sheet11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11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4900</v>
      </c>
      <c r="D5" s="8">
        <f ca="1">C5-B5</f>
        <v>-800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3500</v>
      </c>
      <c r="D6" s="8">
        <f t="shared" ref="D6:D7" ca="1" si="0">B6-C6</f>
        <v>300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400</v>
      </c>
      <c r="D9" s="8">
        <f ca="1">D5+D6+D7</f>
        <v>400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45971</v>
      </c>
      <c r="M15" s="13">
        <v>1500</v>
      </c>
      <c r="N15" s="35"/>
      <c r="P15" s="39" t="s">
        <v>19</v>
      </c>
      <c r="Q15" s="6">
        <f ca="1">DATE(2025,$A$2, RANDBETWEEN(1, 28))</f>
        <v>45982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Savings_11[[#This Row],[Planned]]-Savings_11[[#This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158</v>
      </c>
      <c r="I16" s="28">
        <f t="shared" ref="I16:I23" ca="1" si="2">G16-H16</f>
        <v>42</v>
      </c>
      <c r="K16" s="33" t="s">
        <v>2</v>
      </c>
      <c r="L16" s="5">
        <f ca="1">DATE(2025,$A$2, 5)</f>
        <v>45966</v>
      </c>
      <c r="M16" s="13">
        <v>45</v>
      </c>
      <c r="N16" s="35"/>
      <c r="P16" s="39" t="s">
        <v>20</v>
      </c>
      <c r="Q16" s="6">
        <f ca="1">DATE(2025,$A$2, RANDBETWEEN(1, 28))</f>
        <v>45984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Savings_11[[#This Row],[Planned]]-Savings_11[[#This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400</v>
      </c>
      <c r="D17" s="25">
        <f t="shared" ca="1" si="1"/>
        <v>-100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214</v>
      </c>
      <c r="I17" s="28">
        <f t="shared" ca="1" si="2"/>
        <v>86</v>
      </c>
      <c r="K17" s="33" t="s">
        <v>15</v>
      </c>
      <c r="L17" s="5">
        <f ca="1">DATE(2025,$A$2, 5)</f>
        <v>45966</v>
      </c>
      <c r="M17" s="13">
        <v>30</v>
      </c>
      <c r="N17" s="35"/>
      <c r="P17" s="39" t="s">
        <v>21</v>
      </c>
      <c r="Q17" s="6">
        <f ca="1">DATE(2025,$A$2, RANDBETWEEN(1, 28))</f>
        <v>45986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Savings_11[[#This Row],[Planned]]-Savings_11[[#This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506</v>
      </c>
      <c r="I18" s="28">
        <f t="shared" ca="1" si="2"/>
        <v>244</v>
      </c>
      <c r="K18" s="33" t="s">
        <v>14</v>
      </c>
      <c r="L18" s="5">
        <f ca="1">DATE(2025,$A$2, 10)</f>
        <v>45971</v>
      </c>
      <c r="M18" s="13">
        <v>35</v>
      </c>
      <c r="N18" s="35"/>
      <c r="P18" s="39" t="s">
        <v>22</v>
      </c>
      <c r="Q18" s="6">
        <f ca="1">DATE(2025,$A$2, RANDBETWEEN(1, 28))</f>
        <v>45979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Savings_11[[#This Row],[Planned]]-Savings_11[[#This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133</v>
      </c>
      <c r="I19" s="28">
        <f t="shared" ca="1" si="2"/>
        <v>-3</v>
      </c>
      <c r="K19" s="33" t="s">
        <v>16</v>
      </c>
      <c r="L19" s="5">
        <f ca="1">DATE(2025,$A$2, 10)</f>
        <v>45971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Savings_11[[#This Row],[Planned]]-Savings_11[[#This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47</v>
      </c>
      <c r="I20" s="28">
        <f t="shared" ca="1" si="2"/>
        <v>83</v>
      </c>
      <c r="K20" s="33" t="s">
        <v>17</v>
      </c>
      <c r="L20" s="5">
        <f ca="1">DATE(2025,$A$2, 10)</f>
        <v>45971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Savings_11[[#This Row],[Planned]]-Savings_11[[#This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234</v>
      </c>
      <c r="I21" s="28">
        <f t="shared" ca="1" si="2"/>
        <v>-34</v>
      </c>
      <c r="K21" s="33" t="s">
        <v>18</v>
      </c>
      <c r="L21" s="5">
        <f ca="1">DATE(2025,$A$2, 10)</f>
        <v>45971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Savings_11[[#This Row],[Planned]]-Savings_11[[#This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0</v>
      </c>
      <c r="I22" s="28">
        <f t="shared" ca="1" si="2"/>
        <v>200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Savings_11[[#This Row],[Planned]]-Savings_11[[#This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208</v>
      </c>
      <c r="I23" s="28">
        <f t="shared" ca="1" si="2"/>
        <v>-58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Savings_11[[#This Row],[Planned]]-Savings_11[[#This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Savings_11[[#This Row],[Planned]]-Savings_11[[#This Row],[Actual]]</f>
        <v>0</v>
      </c>
    </row>
    <row r="25" spans="1:24" ht="15" thickBot="1" x14ac:dyDescent="0.35">
      <c r="A25" s="21" t="s">
        <v>45</v>
      </c>
      <c r="B25" s="20">
        <f>SUBTOTAL(109,Income_11[Planned])</f>
        <v>5700</v>
      </c>
      <c r="C25" s="20">
        <f ca="1">SUBTOTAL(109,Income_11[Actual])</f>
        <v>4900</v>
      </c>
      <c r="D25" s="20">
        <f ca="1">SUBTOTAL(109,Income_11[Left])</f>
        <v>-800</v>
      </c>
      <c r="E25" s="19"/>
      <c r="F25" s="22" t="s">
        <v>45</v>
      </c>
      <c r="G25" s="23">
        <f>SUBTOTAL(109,Expences_11[Planned])</f>
        <v>3800</v>
      </c>
      <c r="H25" s="23">
        <f ca="1">SUBTOTAL(109,Expences_11[Actual])</f>
        <v>3500</v>
      </c>
      <c r="I25" s="23">
        <f ca="1">SUBTOTAL(109,Expences_11[Left])</f>
        <v>300</v>
      </c>
      <c r="K25" s="37" t="s">
        <v>45</v>
      </c>
      <c r="L25" s="37"/>
      <c r="M25" s="63">
        <f>SUBTOTAL(109,Bills_11[Planned])</f>
        <v>1740</v>
      </c>
      <c r="N25" s="38">
        <f>SUBTOTAL(109,Bills_11[Actual])</f>
        <v>0</v>
      </c>
      <c r="P25" s="43" t="s">
        <v>45</v>
      </c>
      <c r="Q25" s="44"/>
      <c r="R25" s="45">
        <f>SUBTOTAL(109,Subscriptions_11[Planned])</f>
        <v>93.67</v>
      </c>
      <c r="S25" s="45">
        <f>SUBTOTAL(109,Subscriptions_11[Actual])</f>
        <v>0</v>
      </c>
      <c r="U25" s="50" t="s">
        <v>45</v>
      </c>
      <c r="V25" s="51">
        <f>SUBTOTAL(109,Savings_11[Planned])</f>
        <v>1900</v>
      </c>
      <c r="W25" s="51">
        <f>SUBTOTAL(109,Savings_11[Actual])</f>
        <v>1000</v>
      </c>
      <c r="X25" s="51">
        <f>SUBTOTAL(109,Savings_11[Left])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133" priority="5" operator="lessThan">
      <formula>0</formula>
    </cfRule>
  </conditionalFormatting>
  <conditionalFormatting sqref="L15:L24">
    <cfRule type="cellIs" dxfId="132" priority="1" operator="equal">
      <formula>TODAY()</formula>
    </cfRule>
    <cfRule type="cellIs" dxfId="131" priority="2" operator="lessThan">
      <formula>TODAY()</formula>
    </cfRule>
  </conditionalFormatting>
  <conditionalFormatting sqref="Q15:Q24">
    <cfRule type="cellIs" dxfId="130" priority="3" operator="equal">
      <formula>TODAY()</formula>
    </cfRule>
    <cfRule type="cellIs" dxfId="129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AFF36-4986-4113-953A-E598A1B197B0}">
  <sheetPr codeName="Sheet12"/>
  <dimension ref="A1:X26"/>
  <sheetViews>
    <sheetView zoomScale="80" zoomScaleNormal="80" workbookViewId="0">
      <selection activeCell="R16" sqref="R16"/>
    </sheetView>
  </sheetViews>
  <sheetFormatPr defaultRowHeight="14.4" x14ac:dyDescent="0.3"/>
  <cols>
    <col min="1" max="1" width="14.5546875" style="1" customWidth="1"/>
    <col min="2" max="2" width="14.33203125" style="1" bestFit="1" customWidth="1"/>
    <col min="3" max="3" width="14.33203125" style="1" customWidth="1"/>
    <col min="4" max="4" width="16" style="1" customWidth="1"/>
    <col min="5" max="5" width="11.5546875" style="1" customWidth="1"/>
    <col min="6" max="6" width="18.6640625" style="1" customWidth="1"/>
    <col min="7" max="7" width="13.88671875" style="1" customWidth="1"/>
    <col min="8" max="8" width="12.109375" style="1" bestFit="1" customWidth="1"/>
    <col min="9" max="9" width="13.33203125" style="1" customWidth="1"/>
    <col min="10" max="10" width="7" style="1" customWidth="1"/>
    <col min="11" max="11" width="17.109375" style="1" customWidth="1"/>
    <col min="12" max="12" width="14.33203125" style="1" customWidth="1"/>
    <col min="13" max="13" width="20.33203125" style="1" customWidth="1"/>
    <col min="14" max="14" width="9" style="1" customWidth="1"/>
    <col min="15" max="15" width="9.44140625" style="1" customWidth="1"/>
    <col min="16" max="16" width="11.88671875" style="1" bestFit="1" customWidth="1"/>
    <col min="17" max="17" width="18.88671875" style="1" customWidth="1"/>
    <col min="18" max="18" width="10.44140625" customWidth="1"/>
    <col min="19" max="19" width="21.109375" customWidth="1"/>
    <col min="20" max="20" width="8.6640625" customWidth="1"/>
    <col min="21" max="21" width="23.33203125" customWidth="1"/>
    <col min="22" max="22" width="16.44140625" customWidth="1"/>
    <col min="23" max="23" width="12.88671875" customWidth="1"/>
    <col min="24" max="24" width="9.5546875" bestFit="1" customWidth="1"/>
  </cols>
  <sheetData>
    <row r="1" spans="1:24" x14ac:dyDescent="0.3">
      <c r="A1" s="81" t="s">
        <v>36</v>
      </c>
      <c r="B1" s="82"/>
      <c r="C1" s="82"/>
      <c r="D1" s="83"/>
    </row>
    <row r="2" spans="1:24" x14ac:dyDescent="0.3">
      <c r="A2" s="84" t="str" cm="1">
        <f t="array" aca="1" ref="A2" ca="1">_xlfn.TEXTAFTER(CELL("filename", A1), "]")</f>
        <v>12</v>
      </c>
      <c r="B2" s="85"/>
      <c r="C2" s="85"/>
      <c r="D2" s="86"/>
    </row>
    <row r="4" spans="1:24" x14ac:dyDescent="0.3">
      <c r="B4" s="2" t="s">
        <v>9</v>
      </c>
      <c r="C4" s="2" t="s">
        <v>11</v>
      </c>
      <c r="D4" s="2" t="s">
        <v>38</v>
      </c>
    </row>
    <row r="5" spans="1:24" x14ac:dyDescent="0.3">
      <c r="A5" s="2" t="s">
        <v>0</v>
      </c>
      <c r="B5" s="8" cm="1">
        <f t="array" aca="1" ref="B5" ca="1">INDIRECT($A5&amp;"_"&amp;$A$2&amp;"[[#Totals];["&amp;B$4&amp;"]]")</f>
        <v>5700</v>
      </c>
      <c r="C5" s="8" cm="1">
        <f t="array" aca="1" ref="C5" ca="1">INDIRECT($A5&amp;"_"&amp;$A$2&amp;"[[#Totals];["&amp;C$4&amp;"]]")</f>
        <v>6500</v>
      </c>
      <c r="D5" s="8">
        <f ca="1">C5-B5</f>
        <v>800</v>
      </c>
    </row>
    <row r="6" spans="1:24" x14ac:dyDescent="0.3">
      <c r="A6" s="2" t="s">
        <v>5</v>
      </c>
      <c r="B6" s="8" cm="1">
        <f t="array" aca="1" ref="B6" ca="1">INDIRECT($A6&amp;"_"&amp;$A$2&amp;"[[#Totals];["&amp;B$4&amp;"]]")</f>
        <v>3800</v>
      </c>
      <c r="C6" s="8" cm="1">
        <f t="array" aca="1" ref="C6" ca="1">INDIRECT($A6&amp;"_"&amp;$A$2&amp;"[[#Totals];["&amp;C$4&amp;"]]")</f>
        <v>4080</v>
      </c>
      <c r="D6" s="8">
        <f t="shared" ref="D6:D7" ca="1" si="0">B6-C6</f>
        <v>-280</v>
      </c>
    </row>
    <row r="7" spans="1:24" x14ac:dyDescent="0.3">
      <c r="A7" s="2" t="s">
        <v>31</v>
      </c>
      <c r="B7" s="8" cm="1">
        <f t="array" aca="1" ref="B7" ca="1">INDIRECT($A7&amp;"_"&amp;$A$2&amp;"[[#Totals];["&amp;B$4&amp;"]]")</f>
        <v>1900</v>
      </c>
      <c r="C7" s="8" cm="1">
        <f t="array" aca="1" ref="C7" ca="1">INDIRECT($A7&amp;"_"&amp;$A$2&amp;"[[#Totals];["&amp;C$4&amp;"]]")</f>
        <v>1000</v>
      </c>
      <c r="D7" s="8">
        <f t="shared" ca="1" si="0"/>
        <v>900</v>
      </c>
    </row>
    <row r="8" spans="1:24" x14ac:dyDescent="0.3">
      <c r="B8" s="9"/>
      <c r="C8" s="9"/>
      <c r="D8" s="9"/>
    </row>
    <row r="9" spans="1:24" x14ac:dyDescent="0.3">
      <c r="A9" s="2" t="s">
        <v>37</v>
      </c>
      <c r="B9" s="8">
        <f ca="1">B5-B6-B7</f>
        <v>0</v>
      </c>
      <c r="C9" s="8">
        <f ca="1">C5-C6-C7</f>
        <v>1420</v>
      </c>
      <c r="D9" s="8">
        <f ca="1">D5+D6+D7</f>
        <v>1420</v>
      </c>
    </row>
    <row r="12" spans="1:24" ht="15" thickBot="1" x14ac:dyDescent="0.35"/>
    <row r="13" spans="1:24" ht="15" thickBot="1" x14ac:dyDescent="0.35">
      <c r="A13" s="75" t="s">
        <v>0</v>
      </c>
      <c r="B13" s="76"/>
      <c r="C13" s="76"/>
      <c r="D13" s="77"/>
      <c r="E13" s="19"/>
      <c r="F13" s="70" t="s">
        <v>5</v>
      </c>
      <c r="G13" s="71"/>
      <c r="H13" s="71"/>
      <c r="I13" s="72"/>
      <c r="K13" s="74" t="s">
        <v>6</v>
      </c>
      <c r="L13" s="74"/>
      <c r="M13" s="74"/>
      <c r="N13" s="74"/>
      <c r="P13" s="73" t="s">
        <v>7</v>
      </c>
      <c r="Q13" s="73"/>
      <c r="R13" s="73"/>
      <c r="S13" s="73"/>
      <c r="U13" s="78" t="s">
        <v>31</v>
      </c>
      <c r="V13" s="79"/>
      <c r="W13" s="79"/>
      <c r="X13" s="80"/>
    </row>
    <row r="14" spans="1:24" x14ac:dyDescent="0.3">
      <c r="A14" s="52" t="s">
        <v>24</v>
      </c>
      <c r="B14" s="53" t="s">
        <v>9</v>
      </c>
      <c r="C14" s="53" t="s">
        <v>11</v>
      </c>
      <c r="D14" s="54" t="s">
        <v>38</v>
      </c>
      <c r="E14" s="19"/>
      <c r="F14" s="57" t="s">
        <v>8</v>
      </c>
      <c r="G14" s="58" t="s">
        <v>9</v>
      </c>
      <c r="H14" s="58" t="s">
        <v>11</v>
      </c>
      <c r="I14" s="59" t="s">
        <v>38</v>
      </c>
      <c r="K14" s="60" t="s">
        <v>46</v>
      </c>
      <c r="L14" s="61" t="s">
        <v>10</v>
      </c>
      <c r="M14" s="61" t="s">
        <v>9</v>
      </c>
      <c r="N14" s="62" t="s">
        <v>11</v>
      </c>
      <c r="P14" s="64" t="s">
        <v>47</v>
      </c>
      <c r="Q14" s="65" t="s">
        <v>10</v>
      </c>
      <c r="R14" s="65" t="s">
        <v>9</v>
      </c>
      <c r="S14" s="66" t="s">
        <v>11</v>
      </c>
      <c r="U14" s="67" t="s">
        <v>32</v>
      </c>
      <c r="V14" s="68" t="s">
        <v>9</v>
      </c>
      <c r="W14" s="69" t="s">
        <v>11</v>
      </c>
      <c r="X14" s="68" t="s">
        <v>38</v>
      </c>
    </row>
    <row r="15" spans="1:24" x14ac:dyDescent="0.3">
      <c r="A15" s="24" t="s">
        <v>27</v>
      </c>
      <c r="B15" s="12">
        <v>2500</v>
      </c>
      <c r="C15" s="12" cm="1">
        <f t="array" aca="1" ref="C15" ca="1">_xlfn.XLOOKUP(A15,INDIRECT("'Finanse_YevhenPyrih.xlsx'!Incomes"&amp;$A$2&amp;"[Category]"),INDIRECT("'Finanse_YevhenPyrih.xlsx'!Incomes"&amp;$A$2&amp;"[Total]"),0,0,1)</f>
        <v>0</v>
      </c>
      <c r="D15" s="25">
        <f ca="1">C15-B15</f>
        <v>-2500</v>
      </c>
      <c r="E15" s="19"/>
      <c r="F15" s="27" t="s">
        <v>12</v>
      </c>
      <c r="G15" s="10">
        <v>1740</v>
      </c>
      <c r="H15" s="11" cm="1">
        <f t="array" aca="1" ref="H15" ca="1">-_xlfn.XLOOKUP(F15,INDIRECT("'Finanse_YevhenPyrih.xlsx'!Expenses"&amp;$A$2&amp;"[Category]"),INDIRECT("'Finanse_YevhenPyrih.xlsx'!Expenses"&amp;$A$2&amp;"[Total]"),0,0,1)</f>
        <v>2000</v>
      </c>
      <c r="I15" s="28">
        <f ca="1">G15-H15</f>
        <v>-260</v>
      </c>
      <c r="K15" s="33" t="s">
        <v>1</v>
      </c>
      <c r="L15" s="5">
        <f ca="1">DATE(2025,$A$2, 10)</f>
        <v>46001</v>
      </c>
      <c r="M15" s="13">
        <v>1500</v>
      </c>
      <c r="N15" s="35"/>
      <c r="P15" s="39" t="s">
        <v>19</v>
      </c>
      <c r="Q15" s="6">
        <f ca="1">DATE(2025,$A$2, RANDBETWEEN(1, 28))</f>
        <v>45994</v>
      </c>
      <c r="R15" s="15">
        <v>33</v>
      </c>
      <c r="S15" s="41"/>
      <c r="U15" s="46" t="s">
        <v>33</v>
      </c>
      <c r="V15" s="17">
        <v>350</v>
      </c>
      <c r="W15" s="48"/>
      <c r="X15" s="48">
        <f>Savings_12[[#This Row],[Planned]]-Savings_12[[#This Row],[Actual]]</f>
        <v>350</v>
      </c>
    </row>
    <row r="16" spans="1:24" x14ac:dyDescent="0.3">
      <c r="A16" s="24" t="s">
        <v>39</v>
      </c>
      <c r="B16" s="12">
        <v>300</v>
      </c>
      <c r="C16" s="12" cm="1">
        <f t="array" aca="1" ref="C16" ca="1">_xlfn.XLOOKUP(A16,INDIRECT("'Finanse_YevhenPyrih.xlsx'!Incomes"&amp;$A$2&amp;"[Category]"),INDIRECT("'Finanse_YevhenPyrih.xlsx'!Incomes"&amp;$A$2&amp;"[Total]"),0,0,1)</f>
        <v>0</v>
      </c>
      <c r="D16" s="25">
        <f t="shared" ref="D16:D20" ca="1" si="1">C16-B16</f>
        <v>-300</v>
      </c>
      <c r="E16" s="19"/>
      <c r="F16" s="27" t="s">
        <v>23</v>
      </c>
      <c r="G16" s="10">
        <v>200</v>
      </c>
      <c r="H16" s="11" cm="1">
        <f t="array" aca="1" ref="H16" ca="1">-_xlfn.XLOOKUP(F16,INDIRECT("'Finanse_YevhenPyrih.xlsx'!Expenses"&amp;$A$2&amp;"[Category]"),INDIRECT("'Finanse_YevhenPyrih.xlsx'!Expenses"&amp;$A$2&amp;"[Total]"),0,0,1)</f>
        <v>120</v>
      </c>
      <c r="I16" s="28">
        <f t="shared" ref="I16:I23" ca="1" si="2">G16-H16</f>
        <v>80</v>
      </c>
      <c r="K16" s="33" t="s">
        <v>2</v>
      </c>
      <c r="L16" s="5">
        <f ca="1">DATE(2025,$A$2, 5)</f>
        <v>45996</v>
      </c>
      <c r="M16" s="13">
        <v>45</v>
      </c>
      <c r="N16" s="35"/>
      <c r="P16" s="39" t="s">
        <v>20</v>
      </c>
      <c r="Q16" s="6">
        <f ca="1">DATE(2025,$A$2, RANDBETWEEN(1, 28))</f>
        <v>46016</v>
      </c>
      <c r="R16" s="15">
        <v>12.99</v>
      </c>
      <c r="S16" s="41"/>
      <c r="U16" s="46" t="s">
        <v>34</v>
      </c>
      <c r="V16" s="17">
        <v>400</v>
      </c>
      <c r="W16" s="48"/>
      <c r="X16" s="48">
        <f>Savings_12[[#This Row],[Planned]]-Savings_12[[#This Row],[Actual]]</f>
        <v>400</v>
      </c>
    </row>
    <row r="17" spans="1:24" x14ac:dyDescent="0.3">
      <c r="A17" s="24" t="s">
        <v>40</v>
      </c>
      <c r="B17" s="12">
        <v>500</v>
      </c>
      <c r="C17" s="12" cm="1">
        <f t="array" aca="1" ref="C17" ca="1">_xlfn.XLOOKUP(A17,INDIRECT("'Finanse_YevhenPyrih.xlsx'!Incomes"&amp;$A$2&amp;"[Category]"),INDIRECT("'Finanse_YevhenPyrih.xlsx'!Incomes"&amp;$A$2&amp;"[Total]"),0,0,1)</f>
        <v>2000</v>
      </c>
      <c r="D17" s="25">
        <f t="shared" ca="1" si="1"/>
        <v>1500</v>
      </c>
      <c r="E17" s="19"/>
      <c r="F17" s="27" t="s">
        <v>13</v>
      </c>
      <c r="G17" s="10">
        <v>300</v>
      </c>
      <c r="H17" s="11" cm="1">
        <f t="array" aca="1" ref="H17" ca="1">-_xlfn.XLOOKUP(F17,INDIRECT("'Finanse_YevhenPyrih.xlsx'!Expenses"&amp;$A$2&amp;"[Category]"),INDIRECT("'Finanse_YevhenPyrih.xlsx'!Expenses"&amp;$A$2&amp;"[Total]"),0,0,1)</f>
        <v>450</v>
      </c>
      <c r="I17" s="28">
        <f t="shared" ca="1" si="2"/>
        <v>-150</v>
      </c>
      <c r="K17" s="33" t="s">
        <v>15</v>
      </c>
      <c r="L17" s="5">
        <f ca="1">DATE(2025,$A$2, 5)</f>
        <v>45996</v>
      </c>
      <c r="M17" s="13">
        <v>30</v>
      </c>
      <c r="N17" s="35"/>
      <c r="P17" s="39" t="s">
        <v>21</v>
      </c>
      <c r="Q17" s="6">
        <f ca="1">DATE(2025,$A$2, RANDBETWEEN(1, 28))</f>
        <v>46019</v>
      </c>
      <c r="R17" s="15">
        <v>42.69</v>
      </c>
      <c r="S17" s="41"/>
      <c r="U17" s="46" t="s">
        <v>35</v>
      </c>
      <c r="V17" s="17">
        <v>500</v>
      </c>
      <c r="W17" s="48">
        <v>500</v>
      </c>
      <c r="X17" s="48">
        <f>Savings_12[[#This Row],[Planned]]-Savings_12[[#This Row],[Actual]]</f>
        <v>0</v>
      </c>
    </row>
    <row r="18" spans="1:24" x14ac:dyDescent="0.3">
      <c r="A18" s="24" t="s">
        <v>41</v>
      </c>
      <c r="B18" s="12">
        <v>100</v>
      </c>
      <c r="C18" s="12" cm="1">
        <f t="array" aca="1" ref="C18" ca="1">_xlfn.XLOOKUP(A18,INDIRECT("'Finanse_YevhenPyrih.xlsx'!Incomes"&amp;$A$2&amp;"[Category]"),INDIRECT("'Finanse_YevhenPyrih.xlsx'!Incomes"&amp;$A$2&amp;"[Total]"),0,0,1)</f>
        <v>0</v>
      </c>
      <c r="D18" s="25">
        <f t="shared" ca="1" si="1"/>
        <v>-100</v>
      </c>
      <c r="E18" s="19"/>
      <c r="F18" s="27" t="s">
        <v>3</v>
      </c>
      <c r="G18" s="11">
        <v>750</v>
      </c>
      <c r="H18" s="11" cm="1">
        <f t="array" aca="1" ref="H18" ca="1">-_xlfn.XLOOKUP(F18,INDIRECT("'Finanse_YevhenPyrih.xlsx'!Expenses"&amp;$A$2&amp;"[Category]"),INDIRECT("'Finanse_YevhenPyrih.xlsx'!Expenses"&amp;$A$2&amp;"[Total]"),0,0,1)</f>
        <v>700</v>
      </c>
      <c r="I18" s="28">
        <f t="shared" ca="1" si="2"/>
        <v>50</v>
      </c>
      <c r="K18" s="33" t="s">
        <v>14</v>
      </c>
      <c r="L18" s="5">
        <f ca="1">DATE(2025,$A$2, 10)</f>
        <v>46001</v>
      </c>
      <c r="M18" s="13">
        <v>35</v>
      </c>
      <c r="N18" s="35"/>
      <c r="P18" s="39" t="s">
        <v>22</v>
      </c>
      <c r="Q18" s="6">
        <f ca="1">DATE(2025,$A$2, RANDBETWEEN(1, 28))</f>
        <v>45993</v>
      </c>
      <c r="R18" s="15">
        <v>4.99</v>
      </c>
      <c r="S18" s="41"/>
      <c r="U18" s="46" t="s">
        <v>30</v>
      </c>
      <c r="V18" s="17">
        <v>150</v>
      </c>
      <c r="W18" s="48"/>
      <c r="X18" s="49">
        <f>Savings_12[[#This Row],[Planned]]-Savings_12[[#This Row],[Actual]]</f>
        <v>150</v>
      </c>
    </row>
    <row r="19" spans="1:24" x14ac:dyDescent="0.3">
      <c r="A19" s="24" t="s">
        <v>26</v>
      </c>
      <c r="B19" s="12">
        <v>1500</v>
      </c>
      <c r="C19" s="12" cm="1">
        <f t="array" aca="1" ref="C19" ca="1">_xlfn.XLOOKUP(A19,INDIRECT("'Finanse_YevhenPyrih.xlsx'!Incomes"&amp;$A$2&amp;"[Category]"),INDIRECT("'Finanse_YevhenPyrih.xlsx'!Incomes"&amp;$A$2&amp;"[Total]"),0,0,1)</f>
        <v>4500</v>
      </c>
      <c r="D19" s="25">
        <f t="shared" ca="1" si="1"/>
        <v>3000</v>
      </c>
      <c r="E19" s="19"/>
      <c r="F19" s="27" t="s">
        <v>28</v>
      </c>
      <c r="G19" s="11">
        <v>130</v>
      </c>
      <c r="H19" s="11" cm="1">
        <f t="array" aca="1" ref="H19" ca="1">-_xlfn.XLOOKUP(F19,INDIRECT("'Finanse_YevhenPyrih.xlsx'!Expenses"&amp;$A$2&amp;"[Category]"),INDIRECT("'Finanse_YevhenPyrih.xlsx'!Expenses"&amp;$A$2&amp;"[Total]"),0,0,1)</f>
        <v>10</v>
      </c>
      <c r="I19" s="28">
        <f t="shared" ca="1" si="2"/>
        <v>120</v>
      </c>
      <c r="K19" s="33" t="s">
        <v>16</v>
      </c>
      <c r="L19" s="5">
        <f ca="1">DATE(2025,$A$2, 10)</f>
        <v>46001</v>
      </c>
      <c r="M19" s="13">
        <v>25</v>
      </c>
      <c r="N19" s="35"/>
      <c r="P19" s="39"/>
      <c r="Q19" s="6"/>
      <c r="R19" s="15"/>
      <c r="S19" s="41"/>
      <c r="U19" s="46" t="s">
        <v>29</v>
      </c>
      <c r="V19" s="17">
        <v>500</v>
      </c>
      <c r="W19" s="48">
        <v>500</v>
      </c>
      <c r="X19" s="49">
        <f>Savings_12[[#This Row],[Planned]]-Savings_12[[#This Row],[Actual]]</f>
        <v>0</v>
      </c>
    </row>
    <row r="20" spans="1:24" x14ac:dyDescent="0.3">
      <c r="A20" s="24" t="s">
        <v>25</v>
      </c>
      <c r="B20" s="12">
        <v>800</v>
      </c>
      <c r="C20" s="12" cm="1">
        <f t="array" aca="1" ref="C20" ca="1">_xlfn.XLOOKUP(A20,INDIRECT("'Finanse_YevhenPyrih.xlsx'!Incomes"&amp;$A$2&amp;"[Category]"),INDIRECT("'Finanse_YevhenPyrih.xlsx'!Incomes"&amp;$A$2&amp;"[Total]"),0,0,1)</f>
        <v>0</v>
      </c>
      <c r="D20" s="25">
        <f t="shared" ca="1" si="1"/>
        <v>-800</v>
      </c>
      <c r="E20" s="19"/>
      <c r="F20" s="27" t="s">
        <v>42</v>
      </c>
      <c r="G20" s="11">
        <v>130</v>
      </c>
      <c r="H20" s="11" cm="1">
        <f t="array" aca="1" ref="H20" ca="1">-_xlfn.XLOOKUP(F20,INDIRECT("'Finanse_YevhenPyrih.xlsx'!Expenses"&amp;$A$2&amp;"[Category]"),INDIRECT("'Finanse_YevhenPyrih.xlsx'!Expenses"&amp;$A$2&amp;"[Total]"),0,0,1)</f>
        <v>0</v>
      </c>
      <c r="I20" s="28">
        <f t="shared" ca="1" si="2"/>
        <v>130</v>
      </c>
      <c r="K20" s="33" t="s">
        <v>17</v>
      </c>
      <c r="L20" s="5">
        <f ca="1">DATE(2025,$A$2, 10)</f>
        <v>46001</v>
      </c>
      <c r="M20" s="13">
        <v>70</v>
      </c>
      <c r="N20" s="35"/>
      <c r="P20" s="39"/>
      <c r="Q20" s="6"/>
      <c r="R20" s="15"/>
      <c r="S20" s="41"/>
      <c r="U20" s="46"/>
      <c r="V20" s="17"/>
      <c r="W20" s="48"/>
      <c r="X20" s="49">
        <f>Savings_12[[#This Row],[Planned]]-Savings_12[[#This Row],[Actual]]</f>
        <v>0</v>
      </c>
    </row>
    <row r="21" spans="1:24" x14ac:dyDescent="0.3">
      <c r="A21" s="24"/>
      <c r="B21" s="12"/>
      <c r="C21" s="12"/>
      <c r="D21" s="25"/>
      <c r="E21" s="19"/>
      <c r="F21" s="27" t="s">
        <v>43</v>
      </c>
      <c r="G21" s="11">
        <v>200</v>
      </c>
      <c r="H21" s="11" cm="1">
        <f t="array" aca="1" ref="H21" ca="1">-_xlfn.XLOOKUP(F21,INDIRECT("'Finanse_YevhenPyrih.xlsx'!Expenses"&amp;$A$2&amp;"[Category]"),INDIRECT("'Finanse_YevhenPyrih.xlsx'!Expenses"&amp;$A$2&amp;"[Total]"),0,0,1)</f>
        <v>700</v>
      </c>
      <c r="I21" s="28">
        <f t="shared" ca="1" si="2"/>
        <v>-500</v>
      </c>
      <c r="K21" s="33" t="s">
        <v>18</v>
      </c>
      <c r="L21" s="5">
        <f ca="1">DATE(2025,$A$2, 10)</f>
        <v>46001</v>
      </c>
      <c r="M21" s="13">
        <v>35</v>
      </c>
      <c r="N21" s="35"/>
      <c r="P21" s="39"/>
      <c r="Q21" s="6"/>
      <c r="R21" s="15"/>
      <c r="S21" s="41"/>
      <c r="U21" s="46"/>
      <c r="V21" s="17"/>
      <c r="W21" s="48"/>
      <c r="X21" s="49">
        <f>Savings_12[[#This Row],[Planned]]-Savings_12[[#This Row],[Actual]]</f>
        <v>0</v>
      </c>
    </row>
    <row r="22" spans="1:24" x14ac:dyDescent="0.3">
      <c r="A22" s="24"/>
      <c r="B22" s="12"/>
      <c r="C22" s="12"/>
      <c r="D22" s="25"/>
      <c r="E22" s="19"/>
      <c r="F22" s="27" t="s">
        <v>44</v>
      </c>
      <c r="G22" s="10">
        <v>200</v>
      </c>
      <c r="H22" s="11" cm="1">
        <f t="array" aca="1" ref="H22" ca="1">-_xlfn.XLOOKUP(F22,INDIRECT("'Finanse_YevhenPyrih.xlsx'!Expenses"&amp;$A$2&amp;"[Category]"),INDIRECT("'Finanse_YevhenPyrih.xlsx'!Expenses"&amp;$A$2&amp;"[Total]"),0,0,1)</f>
        <v>100</v>
      </c>
      <c r="I22" s="28">
        <f t="shared" ca="1" si="2"/>
        <v>100</v>
      </c>
      <c r="K22" s="33"/>
      <c r="L22" s="3"/>
      <c r="M22" s="13"/>
      <c r="N22" s="35"/>
      <c r="P22" s="39"/>
      <c r="Q22" s="6"/>
      <c r="R22" s="15"/>
      <c r="S22" s="41"/>
      <c r="U22" s="46"/>
      <c r="V22" s="17"/>
      <c r="W22" s="48"/>
      <c r="X22" s="49">
        <f>Savings_12[[#This Row],[Planned]]-Savings_12[[#This Row],[Actual]]</f>
        <v>0</v>
      </c>
    </row>
    <row r="23" spans="1:24" x14ac:dyDescent="0.3">
      <c r="A23" s="24"/>
      <c r="B23" s="12"/>
      <c r="C23" s="12"/>
      <c r="D23" s="25"/>
      <c r="E23" s="19"/>
      <c r="F23" s="27" t="s">
        <v>4</v>
      </c>
      <c r="G23" s="10">
        <v>150</v>
      </c>
      <c r="H23" s="11" cm="1">
        <f t="array" aca="1" ref="H23" ca="1">-_xlfn.XLOOKUP(F23,INDIRECT("'Finanse_YevhenPyrih.xlsx'!Expenses"&amp;$A$2&amp;"[Category]"),INDIRECT("'Finanse_YevhenPyrih.xlsx'!Expenses"&amp;$A$2&amp;"[Total]"),0,0,1)</f>
        <v>0</v>
      </c>
      <c r="I23" s="28">
        <f t="shared" ca="1" si="2"/>
        <v>150</v>
      </c>
      <c r="K23" s="33"/>
      <c r="L23" s="3"/>
      <c r="M23" s="13"/>
      <c r="N23" s="35"/>
      <c r="P23" s="39"/>
      <c r="Q23" s="6"/>
      <c r="R23" s="15"/>
      <c r="S23" s="41"/>
      <c r="U23" s="46"/>
      <c r="V23" s="17"/>
      <c r="W23" s="48"/>
      <c r="X23" s="49">
        <f>Savings_12[[#This Row],[Planned]]-Savings_12[[#This Row],[Actual]]</f>
        <v>0</v>
      </c>
    </row>
    <row r="24" spans="1:24" x14ac:dyDescent="0.3">
      <c r="A24" s="26"/>
      <c r="B24" s="55"/>
      <c r="C24" s="55"/>
      <c r="D24" s="56"/>
      <c r="E24" s="19"/>
      <c r="F24" s="29"/>
      <c r="G24" s="30"/>
      <c r="H24" s="31"/>
      <c r="I24" s="32"/>
      <c r="K24" s="34"/>
      <c r="L24" s="4"/>
      <c r="M24" s="14"/>
      <c r="N24" s="36"/>
      <c r="P24" s="40"/>
      <c r="Q24" s="7"/>
      <c r="R24" s="16"/>
      <c r="S24" s="42"/>
      <c r="U24" s="47"/>
      <c r="V24" s="18"/>
      <c r="W24" s="49"/>
      <c r="X24" s="49">
        <f>Savings_12[[#This Row],[Planned]]-Savings_12[[#This Row],[Actual]]</f>
        <v>0</v>
      </c>
    </row>
    <row r="25" spans="1:24" ht="15" thickBot="1" x14ac:dyDescent="0.35">
      <c r="A25" s="21" t="s">
        <v>45</v>
      </c>
      <c r="B25" s="20">
        <f>SUBTOTAL(109,Income_12[Planned])</f>
        <v>5700</v>
      </c>
      <c r="C25" s="20">
        <f ca="1">SUBTOTAL(109,Income_12[Actual])</f>
        <v>6500</v>
      </c>
      <c r="D25" s="20">
        <f ca="1">SUBTOTAL(109,Income_12[Left])</f>
        <v>800</v>
      </c>
      <c r="E25" s="19"/>
      <c r="F25" s="22" t="s">
        <v>45</v>
      </c>
      <c r="G25" s="23">
        <f>SUBTOTAL(109,Expences_12[Planned])</f>
        <v>3800</v>
      </c>
      <c r="H25" s="23">
        <f ca="1">SUBTOTAL(109,Expences_12[Actual])</f>
        <v>4080</v>
      </c>
      <c r="I25" s="23">
        <f ca="1">SUBTOTAL(109,Expences_12[Left])</f>
        <v>-280</v>
      </c>
      <c r="K25" s="37" t="s">
        <v>45</v>
      </c>
      <c r="L25" s="37"/>
      <c r="M25" s="63">
        <f>SUBTOTAL(109,Bills_12[Planned])</f>
        <v>1740</v>
      </c>
      <c r="N25" s="38">
        <f>SUBTOTAL(109,Bills_12[Actual])</f>
        <v>0</v>
      </c>
      <c r="P25" s="43" t="s">
        <v>45</v>
      </c>
      <c r="Q25" s="44"/>
      <c r="R25" s="45">
        <f>SUBTOTAL(109,Subscriptions_12[Planned])</f>
        <v>93.67</v>
      </c>
      <c r="S25" s="45">
        <f>SUBTOTAL(109,Subscriptions_12[Actual])</f>
        <v>0</v>
      </c>
      <c r="U25" s="50" t="s">
        <v>45</v>
      </c>
      <c r="V25" s="51">
        <f>SUBTOTAL(109,Savings_12[Planned])</f>
        <v>1900</v>
      </c>
      <c r="W25" s="51">
        <f>SUBTOTAL(109,Savings_12[Actual])</f>
        <v>1000</v>
      </c>
      <c r="X25" s="51">
        <f>SUBTOTAL(109,Savings_12[Left])</f>
        <v>900</v>
      </c>
    </row>
    <row r="26" spans="1:24" x14ac:dyDescent="0.3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</row>
  </sheetData>
  <mergeCells count="7">
    <mergeCell ref="U13:X13"/>
    <mergeCell ref="A1:D1"/>
    <mergeCell ref="A2:D2"/>
    <mergeCell ref="A13:D13"/>
    <mergeCell ref="F13:I13"/>
    <mergeCell ref="K13:N13"/>
    <mergeCell ref="P13:S13"/>
  </mergeCells>
  <conditionalFormatting sqref="B9:D9">
    <cfRule type="cellIs" dxfId="68" priority="5" operator="lessThan">
      <formula>0</formula>
    </cfRule>
  </conditionalFormatting>
  <conditionalFormatting sqref="L15:L24">
    <cfRule type="cellIs" dxfId="67" priority="1" operator="equal">
      <formula>TODAY()</formula>
    </cfRule>
    <cfRule type="cellIs" dxfId="66" priority="2" operator="lessThan">
      <formula>TODAY()</formula>
    </cfRule>
  </conditionalFormatting>
  <conditionalFormatting sqref="Q15:Q24">
    <cfRule type="cellIs" dxfId="65" priority="3" operator="equal">
      <formula>TODAY()</formula>
    </cfRule>
    <cfRule type="cellIs" dxfId="64" priority="4" operator="lessThan">
      <formula>TODAY()</formula>
    </cfRule>
  </conditionalFormatting>
  <pageMargins left="0.7" right="0.7" top="0.75" bottom="0.75" header="0.3" footer="0.3"/>
  <pageSetup paperSize="9" scale="34" orientation="portrait" verticalDpi="0" r:id="rId1"/>
  <drawing r:id="rId2"/>
  <tableParts count="5"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Yevhen Pyrih</cp:lastModifiedBy>
  <dcterms:created xsi:type="dcterms:W3CDTF">2025-10-29T14:06:24Z</dcterms:created>
  <dcterms:modified xsi:type="dcterms:W3CDTF">2026-01-18T22:15:40Z</dcterms:modified>
</cp:coreProperties>
</file>