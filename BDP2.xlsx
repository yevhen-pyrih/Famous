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-A013-20\Downloads\"/>
    </mc:Choice>
  </mc:AlternateContent>
  <xr:revisionPtr revIDLastSave="0" documentId="13_ncr:1_{6C9A1831-7746-45FB-A8AC-B904AB276457}" xr6:coauthVersionLast="47" xr6:coauthVersionMax="47" xr10:uidLastSave="{00000000-0000-0000-0000-000000000000}"/>
  <bookViews>
    <workbookView xWindow="-120" yWindow="-120" windowWidth="29040" windowHeight="15840" xr2:uid="{5FB55F4A-ADCD-4FB3-95A5-9868C5662823}"/>
  </bookViews>
  <sheets>
    <sheet name="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  <c r="B9" i="1"/>
  <c r="B25" i="1"/>
  <c r="B5" i="1" s="1"/>
  <c r="V25" i="1"/>
  <c r="B7" i="1" s="1"/>
  <c r="W25" i="1"/>
  <c r="C7" i="1" s="1"/>
  <c r="S25" i="1"/>
  <c r="R25" i="1"/>
  <c r="N25" i="1"/>
  <c r="M25" i="1"/>
  <c r="G25" i="1"/>
  <c r="B6" i="1" s="1"/>
  <c r="Q17" i="1" l="1"/>
  <c r="L17" i="1"/>
  <c r="L18" i="1"/>
  <c r="Q15" i="1"/>
  <c r="Q18" i="1"/>
  <c r="Q16" i="1"/>
  <c r="L21" i="1"/>
  <c r="L16" i="1"/>
  <c r="L20" i="1"/>
  <c r="L15" i="1"/>
  <c r="L19" i="1"/>
  <c r="D7" i="1"/>
  <c r="H18" i="1" l="1"/>
  <c r="I18" i="1" s="1"/>
  <c r="H21" i="1"/>
  <c r="I21" i="1" s="1"/>
  <c r="H17" i="1"/>
  <c r="I17" i="1" s="1"/>
  <c r="H23" i="1"/>
  <c r="I23" i="1" s="1"/>
  <c r="H19" i="1"/>
  <c r="I19" i="1" s="1"/>
  <c r="H22" i="1"/>
  <c r="I22" i="1" s="1"/>
  <c r="H20" i="1"/>
  <c r="I20" i="1" s="1"/>
  <c r="H16" i="1"/>
  <c r="I16" i="1" s="1"/>
  <c r="H15" i="1"/>
  <c r="I15" i="1" s="1"/>
  <c r="C20" i="1"/>
  <c r="D20" i="1" s="1"/>
  <c r="C18" i="1"/>
  <c r="D18" i="1" s="1"/>
  <c r="C17" i="1"/>
  <c r="D17" i="1" s="1"/>
  <c r="C16" i="1"/>
  <c r="D16" i="1" s="1"/>
  <c r="C19" i="1"/>
  <c r="D19" i="1" s="1"/>
  <c r="I25" i="1" l="1"/>
  <c r="C15" i="1"/>
  <c r="H25" i="1"/>
  <c r="C6" i="1" s="1"/>
  <c r="D6" i="1" s="1"/>
  <c r="D15" i="1" l="1"/>
  <c r="D25" i="1" s="1"/>
  <c r="C25" i="1"/>
  <c r="C5" i="1" l="1"/>
  <c r="C9" i="1" s="1"/>
  <c r="D5" i="1" l="1"/>
  <c r="D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<sst xmlns="http://schemas.openxmlformats.org/spreadsheetml/2006/main" count="66" uniqueCount="46">
  <si>
    <t>Income</t>
  </si>
  <si>
    <t>Rent</t>
  </si>
  <si>
    <t>Internet</t>
  </si>
  <si>
    <t>Groceries</t>
  </si>
  <si>
    <t>Transportation</t>
  </si>
  <si>
    <t>Expences</t>
  </si>
  <si>
    <t>Bills</t>
  </si>
  <si>
    <t>Subscriptions</t>
  </si>
  <si>
    <t>Category</t>
  </si>
  <si>
    <t>Planned</t>
  </si>
  <si>
    <t>Due</t>
  </si>
  <si>
    <t>Actual</t>
  </si>
  <si>
    <t>Accomodation</t>
  </si>
  <si>
    <t>Entertainment</t>
  </si>
  <si>
    <t>Water</t>
  </si>
  <si>
    <t>Mobile phone</t>
  </si>
  <si>
    <t>Gas</t>
  </si>
  <si>
    <t>Electricity</t>
  </si>
  <si>
    <t>Waste</t>
  </si>
  <si>
    <t>Netflix</t>
  </si>
  <si>
    <t>Spotify</t>
  </si>
  <si>
    <t>Audible</t>
  </si>
  <si>
    <t>iCloud</t>
  </si>
  <si>
    <t>Clothing</t>
  </si>
  <si>
    <t>Source</t>
  </si>
  <si>
    <t>Scholarship</t>
  </si>
  <si>
    <t>Salary</t>
  </si>
  <si>
    <t>Allowance</t>
  </si>
  <si>
    <t>Health&amp;Beauty</t>
  </si>
  <si>
    <t>Electronics</t>
  </si>
  <si>
    <t>Appliances&amp;Furniture</t>
  </si>
  <si>
    <t>Sum</t>
  </si>
  <si>
    <t>Savings</t>
  </si>
  <si>
    <t>Aim</t>
  </si>
  <si>
    <t>Investments</t>
  </si>
  <si>
    <t>Retirement</t>
  </si>
  <si>
    <t>Travel</t>
  </si>
  <si>
    <t>Month</t>
  </si>
  <si>
    <t>Balance</t>
  </si>
  <si>
    <t>Left</t>
  </si>
  <si>
    <t>Financial</t>
  </si>
  <si>
    <t>Gift</t>
  </si>
  <si>
    <t>Other incoms</t>
  </si>
  <si>
    <t>Multimedia</t>
  </si>
  <si>
    <t>Other expences</t>
  </si>
  <si>
    <t>Studies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</si>
</sst>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&quot;zł&quot;_-;\-* #,##0.00\ &quot;zł&quot;_-;_-* &quot;-&quot;??\ &quot;zł&quot;_-;_-@_-"/>
    <numFmt numFmtId="168" formatCode="dd\-mmmm"/>
    <numFmt numFmtId="169" formatCode="d\ mmmm"/>
    <numFmt numFmtId="170" formatCode="_-* #,##0.00\ [$zł-415]_-;\-* #,##0.00\ [$zł-415]_-;_-* &quot;-&quot;??\ [$zł-415]_-;_-@_-"/>
  </numFmts>
  <fonts count="5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B7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C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168" fontId="0" fillId="3" borderId="1" xfId="0" applyNumberFormat="1" applyFill="1" applyBorder="1" applyAlignment="1">
      <alignment horizontal="center" vertical="center"/>
    </xf>
    <xf numFmtId="168" fontId="0" fillId="3" borderId="3" xfId="0" applyNumberFormat="1" applyFill="1" applyBorder="1" applyAlignment="1">
      <alignment horizontal="center" vertical="center"/>
    </xf>
    <xf numFmtId="169" fontId="0" fillId="3" borderId="1" xfId="0" applyNumberFormat="1" applyFill="1" applyBorder="1" applyAlignment="1">
      <alignment horizontal="center" vertical="center"/>
    </xf>
    <xf numFmtId="169" fontId="0" fillId="14" borderId="1" xfId="0" applyNumberFormat="1" applyFill="1" applyBorder="1" applyAlignment="1">
      <alignment horizontal="center" vertical="center"/>
    </xf>
    <xf numFmtId="169" fontId="0" fillId="14" borderId="3" xfId="0" applyNumberForma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70" fontId="0" fillId="18" borderId="1" xfId="0" applyNumberFormat="1" applyFill="1" applyBorder="1" applyAlignment="1">
      <alignment horizontal="center" vertical="center"/>
    </xf>
    <xf numFmtId="170" fontId="0" fillId="0" borderId="0" xfId="0" applyNumberFormat="1" applyBorder="1" applyAlignment="1">
      <alignment horizontal="center" vertical="center"/>
    </xf>
    <xf numFmtId="170" fontId="0" fillId="16" borderId="1" xfId="1" applyNumberFormat="1" applyFont="1" applyFill="1" applyBorder="1" applyAlignment="1">
      <alignment horizontal="center" vertical="center"/>
    </xf>
    <xf numFmtId="170" fontId="0" fillId="16" borderId="1" xfId="0" applyNumberFormat="1" applyFill="1" applyBorder="1" applyAlignment="1">
      <alignment horizontal="center" vertical="center"/>
    </xf>
    <xf numFmtId="170" fontId="0" fillId="2" borderId="1" xfId="0" applyNumberFormat="1" applyFill="1" applyBorder="1" applyAlignment="1">
      <alignment horizontal="center" vertical="center"/>
    </xf>
    <xf numFmtId="170" fontId="0" fillId="3" borderId="1" xfId="1" applyNumberFormat="1" applyFont="1" applyFill="1" applyBorder="1" applyAlignment="1">
      <alignment horizontal="center" vertical="center"/>
    </xf>
    <xf numFmtId="170" fontId="0" fillId="3" borderId="3" xfId="1" applyNumberFormat="1" applyFont="1" applyFill="1" applyBorder="1" applyAlignment="1">
      <alignment horizontal="center" vertical="center"/>
    </xf>
    <xf numFmtId="170" fontId="0" fillId="14" borderId="1" xfId="0" applyNumberFormat="1" applyFill="1" applyBorder="1" applyAlignment="1">
      <alignment horizontal="center" vertical="center"/>
    </xf>
    <xf numFmtId="170" fontId="0" fillId="14" borderId="3" xfId="0" applyNumberFormat="1" applyFill="1" applyBorder="1" applyAlignment="1">
      <alignment horizontal="center" vertical="center"/>
    </xf>
    <xf numFmtId="170" fontId="0" fillId="7" borderId="1" xfId="0" applyNumberFormat="1" applyFill="1" applyBorder="1" applyAlignment="1">
      <alignment horizontal="center" vertical="center"/>
    </xf>
    <xf numFmtId="170" fontId="0" fillId="7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0" fillId="0" borderId="5" xfId="0" applyNumberFormat="1" applyFont="1" applyBorder="1" applyAlignment="1">
      <alignment horizontal="center" vertical="center"/>
    </xf>
    <xf numFmtId="0" fontId="0" fillId="0" borderId="6" xfId="0" applyNumberFormat="1" applyFont="1" applyBorder="1" applyAlignment="1">
      <alignment horizontal="center" vertical="center"/>
    </xf>
    <xf numFmtId="0" fontId="0" fillId="0" borderId="7" xfId="0" applyNumberFormat="1" applyFont="1" applyBorder="1" applyAlignment="1">
      <alignment horizontal="center" vertical="center"/>
    </xf>
    <xf numFmtId="0" fontId="0" fillId="17" borderId="5" xfId="0" applyFill="1" applyBorder="1" applyAlignment="1">
      <alignment horizontal="center" vertical="center"/>
    </xf>
    <xf numFmtId="0" fontId="0" fillId="17" borderId="6" xfId="0" applyFill="1" applyBorder="1" applyAlignment="1">
      <alignment horizontal="center" vertical="center"/>
    </xf>
    <xf numFmtId="0" fontId="0" fillId="17" borderId="7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10" borderId="5" xfId="0" applyFont="1" applyFill="1" applyBorder="1" applyAlignment="1">
      <alignment horizontal="center" vertical="center"/>
    </xf>
    <xf numFmtId="0" fontId="2" fillId="10" borderId="6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170" fontId="4" fillId="8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170" fontId="4" fillId="10" borderId="1" xfId="0" applyNumberFormat="1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170" fontId="4" fillId="12" borderId="2" xfId="0" applyNumberFormat="1" applyFont="1" applyFill="1" applyBorder="1" applyAlignment="1">
      <alignment horizontal="center" vertical="center"/>
    </xf>
    <xf numFmtId="0" fontId="4" fillId="13" borderId="2" xfId="0" applyFont="1" applyFill="1" applyBorder="1" applyAlignment="1">
      <alignment horizontal="center" vertical="center"/>
    </xf>
    <xf numFmtId="0" fontId="4" fillId="13" borderId="4" xfId="0" applyFont="1" applyFill="1" applyBorder="1" applyAlignment="1">
      <alignment horizontal="center" vertical="center"/>
    </xf>
    <xf numFmtId="170" fontId="4" fillId="13" borderId="2" xfId="0" applyNumberFormat="1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170" fontId="4" fillId="6" borderId="2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5"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7030A0"/>
      </font>
    </dxf>
    <dxf>
      <font>
        <color rgb="FFFF0000"/>
      </font>
    </dxf>
  </dxfs>
  <tableStyles count="0" defaultTableStyle="TableStyleMedium2" defaultPivotStyle="PivotStyleLight16"/>
  <colors>
    <mruColors>
      <color rgb="FFFF0066"/>
      <color rgb="FFFFCC99"/>
      <color rgb="FFFF9900"/>
      <color rgb="FFFF99CC"/>
      <color rgb="FFFF6699"/>
      <color rgb="FFFF99FF"/>
      <color rgb="FFFF66FF"/>
      <color rgb="FFFFB7FF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0647680374888094"/>
          <c:y val="0.23167760222027581"/>
          <c:w val="0.61271527657910585"/>
          <c:h val="0.632361885757691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'1'!$B$4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'1'!$B$5:$B$7</c:f>
              <c:numCache>
                <c:formatCode>_-* #,##0.00\ [$zł-415]_-;\-* #,##0.00\ [$zł-415]_-;_-* "-"??\ [$zł-415]_-;_-@_-</c:formatCode>
                <c:ptCount val="3"/>
                <c:pt idx="0">
                  <c:v>5700</c:v>
                </c:pt>
                <c:pt idx="1">
                  <c:v>3800</c:v>
                </c:pt>
                <c:pt idx="2">
                  <c:v>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30-42F2-AA21-7DD576DB8080}"/>
            </c:ext>
          </c:extLst>
        </c:ser>
        <c:ser>
          <c:idx val="1"/>
          <c:order val="1"/>
          <c:tx>
            <c:strRef>
              <c:f>'1'!$C$4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'1'!$A$5:$A$7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'1'!$C$5:$C$7</c:f>
              <c:numCache>
                <c:formatCode>_-* #,##0.00\ [$zł-415]_-;\-* #,##0.00\ [$zł-415]_-;_-* "-"??\ [$zł-415]_-;_-@_-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30-42F2-AA21-7DD576DB8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911614703"/>
        <c:axId val="911618063"/>
      </c:barChart>
      <c:catAx>
        <c:axId val="91161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8063"/>
        <c:crosses val="autoZero"/>
        <c:auto val="1"/>
        <c:lblAlgn val="ctr"/>
        <c:lblOffset val="100"/>
        <c:noMultiLvlLbl val="0"/>
      </c:catAx>
      <c:valAx>
        <c:axId val="9116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\ [$zł-415]_-;\-* #,##0.00\ [$zł-415]_-;_-* &quot;-&quot;??\ [$zł-415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470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</a:t>
            </a:r>
            <a:r>
              <a:rPr lang="en-US" baseline="0"/>
              <a:t> structure</a:t>
            </a:r>
          </a:p>
        </c:rich>
      </c:tx>
      <c:layout>
        <c:manualLayout>
          <c:xMode val="edge"/>
          <c:yMode val="edge"/>
          <c:x val="0.26334198660143271"/>
          <c:y val="2.7777949713916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'1'!$B$14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F21-4599-B1E2-2FE59AF2D6AD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F21-4599-B1E2-2FE59AF2D6AD}"/>
              </c:ext>
            </c:extLst>
          </c:dPt>
          <c:dPt>
            <c:idx val="2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F21-4599-B1E2-2FE59AF2D6AD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F21-4599-B1E2-2FE59AF2D6AD}"/>
              </c:ext>
            </c:extLst>
          </c:dPt>
          <c:dLbls>
            <c:dLbl>
              <c:idx val="0"/>
              <c:layout>
                <c:manualLayout>
                  <c:x val="0.14166666666666666"/>
                  <c:y val="-0.1296296296296296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F21-4599-B1E2-2FE59AF2D6AD}"/>
                </c:ext>
              </c:extLst>
            </c:dLbl>
            <c:dLbl>
              <c:idx val="1"/>
              <c:layout>
                <c:manualLayout>
                  <c:x val="9.1666666666666563E-2"/>
                  <c:y val="-5.555555555555560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F21-4599-B1E2-2FE59AF2D6AD}"/>
                </c:ext>
              </c:extLst>
            </c:dLbl>
            <c:dLbl>
              <c:idx val="2"/>
              <c:layout>
                <c:manualLayout>
                  <c:x val="-0.14722222222222223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F21-4599-B1E2-2FE59AF2D6AD}"/>
                </c:ext>
              </c:extLst>
            </c:dLbl>
            <c:dLbl>
              <c:idx val="3"/>
              <c:layout>
                <c:manualLayout>
                  <c:x val="-0.18611111111111112"/>
                  <c:y val="-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F21-4599-B1E2-2FE59AF2D6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'1'!$A$15:$A$18</c:f>
              <c:strCache>
                <c:ptCount val="4"/>
                <c:pt idx="0">
                  <c:v>Allowance</c:v>
                </c:pt>
                <c:pt idx="1">
                  <c:v>Financial</c:v>
                </c:pt>
                <c:pt idx="2">
                  <c:v>Gift</c:v>
                </c:pt>
                <c:pt idx="3">
                  <c:v>Other incoms</c:v>
                </c:pt>
              </c:strCache>
            </c:strRef>
          </c:cat>
          <c:val>
            <c:numRef>
              <c:f>'1'!$B$15:$B$18</c:f>
              <c:numCache>
                <c:formatCode>_-* #,##0.00\ [$zł-415]_-;\-* #,##0.00\ [$zł-415]_-;_-* "-"??\ [$zł-415]_-;_-@_-</c:formatCode>
                <c:ptCount val="4"/>
                <c:pt idx="0">
                  <c:v>2500</c:v>
                </c:pt>
                <c:pt idx="1">
                  <c:v>300</c:v>
                </c:pt>
                <c:pt idx="2">
                  <c:v>500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1-4599-B1E2-2FE59AF2D6A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Expences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3646655806978"/>
          <c:y val="0.18436236168570816"/>
          <c:w val="0.4527270668838605"/>
          <c:h val="0.66853491293525125"/>
        </c:manualLayout>
      </c:layout>
      <c:doughnutChart>
        <c:varyColors val="1"/>
        <c:ser>
          <c:idx val="0"/>
          <c:order val="0"/>
          <c:tx>
            <c:strRef>
              <c:f>'1'!$G$14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0A0-43D9-9439-EC739F041A19}"/>
              </c:ext>
            </c:extLst>
          </c:dPt>
          <c:dPt>
            <c:idx val="1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0A0-43D9-9439-EC739F041A19}"/>
              </c:ext>
            </c:extLst>
          </c:dPt>
          <c:dPt>
            <c:idx val="2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0A0-43D9-9439-EC739F041A19}"/>
              </c:ext>
            </c:extLst>
          </c:dPt>
          <c:dPt>
            <c:idx val="3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0A0-43D9-9439-EC739F041A19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40A0-43D9-9439-EC739F041A19}"/>
              </c:ext>
            </c:extLst>
          </c:dPt>
          <c:dPt>
            <c:idx val="5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0A0-43D9-9439-EC739F041A19}"/>
              </c:ext>
            </c:extLst>
          </c:dPt>
          <c:dPt>
            <c:idx val="6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40A0-43D9-9439-EC739F041A19}"/>
              </c:ext>
            </c:extLst>
          </c:dPt>
          <c:dPt>
            <c:idx val="7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0A0-43D9-9439-EC739F041A19}"/>
              </c:ext>
            </c:extLst>
          </c:dPt>
          <c:dPt>
            <c:idx val="8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0A0-43D9-9439-EC739F041A19}"/>
              </c:ext>
            </c:extLst>
          </c:dPt>
          <c:dLbls>
            <c:dLbl>
              <c:idx val="0"/>
              <c:layout>
                <c:manualLayout>
                  <c:x val="0.1909355714808105"/>
                  <c:y val="0.1053299234665753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0A0-43D9-9439-EC739F041A19}"/>
                </c:ext>
              </c:extLst>
            </c:dLbl>
            <c:dLbl>
              <c:idx val="1"/>
              <c:layout>
                <c:manualLayout>
                  <c:x val="0.27222222222222231"/>
                  <c:y val="-4.166666666666675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0A0-43D9-9439-EC739F041A19}"/>
                </c:ext>
              </c:extLst>
            </c:dLbl>
            <c:dLbl>
              <c:idx val="2"/>
              <c:layout>
                <c:manualLayout>
                  <c:x val="-0.1953703137497885"/>
                  <c:y val="0.189335003452417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0A0-43D9-9439-EC739F041A19}"/>
                </c:ext>
              </c:extLst>
            </c:dLbl>
            <c:dLbl>
              <c:idx val="3"/>
              <c:layout>
                <c:manualLayout>
                  <c:x val="-0.20000000000000004"/>
                  <c:y val="9.722222222222222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0A0-43D9-9439-EC739F041A19}"/>
                </c:ext>
              </c:extLst>
            </c:dLbl>
            <c:dLbl>
              <c:idx val="4"/>
              <c:layout>
                <c:manualLayout>
                  <c:x val="-0.27144242583201761"/>
                  <c:y val="0.157383459148326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0A0-43D9-9439-EC739F041A19}"/>
                </c:ext>
              </c:extLst>
            </c:dLbl>
            <c:dLbl>
              <c:idx val="5"/>
              <c:layout>
                <c:manualLayout>
                  <c:x val="-0.30833333333333335"/>
                  <c:y val="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0A0-43D9-9439-EC739F041A19}"/>
                </c:ext>
              </c:extLst>
            </c:dLbl>
            <c:dLbl>
              <c:idx val="6"/>
              <c:layout>
                <c:manualLayout>
                  <c:x val="-0.28333333333333333"/>
                  <c:y val="-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0A0-43D9-9439-EC739F041A19}"/>
                </c:ext>
              </c:extLst>
            </c:dLbl>
            <c:dLbl>
              <c:idx val="7"/>
              <c:layout>
                <c:manualLayout>
                  <c:x val="-0.29756327390955511"/>
                  <c:y val="-0.1479317407727613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221044814276438"/>
                      <c:h val="0.16559600622015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40A0-43D9-9439-EC739F041A19}"/>
                </c:ext>
              </c:extLst>
            </c:dLbl>
            <c:dLbl>
              <c:idx val="8"/>
              <c:layout>
                <c:manualLayout>
                  <c:x val="0.32046771820501241"/>
                  <c:y val="-0.1387690535733972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0A0-43D9-9439-EC739F041A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'1'!$F$15:$F$23</c:f>
              <c:strCache>
                <c:ptCount val="9"/>
                <c:pt idx="0">
                  <c:v>Accomodation</c:v>
                </c:pt>
                <c:pt idx="1">
                  <c:v>Clothing</c:v>
                </c:pt>
                <c:pt idx="2">
                  <c:v>Entertainment</c:v>
                </c:pt>
                <c:pt idx="3">
                  <c:v>Groceries</c:v>
                </c:pt>
                <c:pt idx="4">
                  <c:v>Health&amp;Beauty</c:v>
                </c:pt>
                <c:pt idx="5">
                  <c:v>Multimedia</c:v>
                </c:pt>
                <c:pt idx="6">
                  <c:v>Other expences</c:v>
                </c:pt>
                <c:pt idx="7">
                  <c:v>Studies</c:v>
                </c:pt>
                <c:pt idx="8">
                  <c:v>Transportation</c:v>
                </c:pt>
              </c:strCache>
            </c:strRef>
          </c:cat>
          <c:val>
            <c:numRef>
              <c:f>'1'!$G$15:$G$23</c:f>
              <c:numCache>
                <c:formatCode>_-* #,##0.00\ [$zł-415]_-;\-* #,##0.00\ [$zł-415]_-;_-* "-"??\ [$zł-415]_-;_-@_-</c:formatCode>
                <c:ptCount val="9"/>
                <c:pt idx="0">
                  <c:v>1740</c:v>
                </c:pt>
                <c:pt idx="1">
                  <c:v>200</c:v>
                </c:pt>
                <c:pt idx="2">
                  <c:v>300</c:v>
                </c:pt>
                <c:pt idx="3">
                  <c:v>750</c:v>
                </c:pt>
                <c:pt idx="4">
                  <c:v>130</c:v>
                </c:pt>
                <c:pt idx="5">
                  <c:v>130</c:v>
                </c:pt>
                <c:pt idx="6">
                  <c:v>200</c:v>
                </c:pt>
                <c:pt idx="7">
                  <c:v>200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A0-43D9-9439-EC739F041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Bills</a:t>
            </a:r>
            <a:r>
              <a:rPr lang="en-US" baseline="0"/>
              <a:t> structure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30531780402449693"/>
          <c:y val="0.21740449110527851"/>
          <c:w val="0.40047572178477692"/>
          <c:h val="0.66745953630796151"/>
        </c:manualLayout>
      </c:layout>
      <c:doughnutChart>
        <c:varyColors val="1"/>
        <c:ser>
          <c:idx val="0"/>
          <c:order val="0"/>
          <c:tx>
            <c:strRef>
              <c:f>'1'!$M$14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4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9D5-4B95-AB47-1C83055DBC8A}"/>
              </c:ext>
            </c:extLst>
          </c:dPt>
          <c:dPt>
            <c:idx val="1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9D5-4B95-AB47-1C83055DBC8A}"/>
              </c:ext>
            </c:extLst>
          </c:dPt>
          <c:dPt>
            <c:idx val="2"/>
            <c:bubble3D val="0"/>
            <c:spPr>
              <a:solidFill>
                <a:schemeClr val="accent1">
                  <a:shade val="8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F9D5-4B95-AB47-1C83055DBC8A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9D5-4B95-AB47-1C83055DBC8A}"/>
              </c:ext>
            </c:extLst>
          </c:dPt>
          <c:dPt>
            <c:idx val="4"/>
            <c:bubble3D val="0"/>
            <c:spPr>
              <a:solidFill>
                <a:schemeClr val="accent1">
                  <a:tint val="8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9D5-4B95-AB47-1C83055DBC8A}"/>
              </c:ext>
            </c:extLst>
          </c:dPt>
          <c:dPt>
            <c:idx val="5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9D5-4B95-AB47-1C83055DBC8A}"/>
              </c:ext>
            </c:extLst>
          </c:dPt>
          <c:dPt>
            <c:idx val="6"/>
            <c:bubble3D val="0"/>
            <c:spPr>
              <a:solidFill>
                <a:schemeClr val="accent1">
                  <a:tint val="4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9D5-4B95-AB47-1C83055DBC8A}"/>
              </c:ext>
            </c:extLst>
          </c:dPt>
          <c:dLbls>
            <c:dLbl>
              <c:idx val="0"/>
              <c:layout>
                <c:manualLayout>
                  <c:x val="0.18888888888888888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9D5-4B95-AB47-1C83055DBC8A}"/>
                </c:ext>
              </c:extLst>
            </c:dLbl>
            <c:dLbl>
              <c:idx val="1"/>
              <c:layout>
                <c:manualLayout>
                  <c:x val="-0.26736701012210801"/>
                  <c:y val="0.2314814814814814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9D5-4B95-AB47-1C83055DBC8A}"/>
                </c:ext>
              </c:extLst>
            </c:dLbl>
            <c:dLbl>
              <c:idx val="2"/>
              <c:layout>
                <c:manualLayout>
                  <c:x val="-0.29450143560621261"/>
                  <c:y val="-4.62962962962963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9D5-4B95-AB47-1C83055DBC8A}"/>
                </c:ext>
              </c:extLst>
            </c:dLbl>
            <c:dLbl>
              <c:idx val="3"/>
              <c:layout>
                <c:manualLayout>
                  <c:x val="-0.31289292632278742"/>
                  <c:y val="-0.1574074074074074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9D5-4B95-AB47-1C83055DBC8A}"/>
                </c:ext>
              </c:extLst>
            </c:dLbl>
            <c:dLbl>
              <c:idx val="4"/>
              <c:layout>
                <c:manualLayout>
                  <c:x val="-0.18350977502505814"/>
                  <c:y val="-0.2175925925925925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9D5-4B95-AB47-1C83055DBC8A}"/>
                </c:ext>
              </c:extLst>
            </c:dLbl>
            <c:dLbl>
              <c:idx val="5"/>
              <c:layout>
                <c:manualLayout>
                  <c:x val="-3.9827937362907684E-2"/>
                  <c:y val="-0.166666666666666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9D5-4B95-AB47-1C83055DBC8A}"/>
                </c:ext>
              </c:extLst>
            </c:dLbl>
            <c:dLbl>
              <c:idx val="6"/>
              <c:layout>
                <c:manualLayout>
                  <c:x val="0.31666666666666665"/>
                  <c:y val="-5.0925925925925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9D5-4B95-AB47-1C83055DBC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'1'!$K$15:$K$21</c:f>
              <c:strCache>
                <c:ptCount val="7"/>
                <c:pt idx="0">
                  <c:v>Rent</c:v>
                </c:pt>
                <c:pt idx="1">
                  <c:v>Internet</c:v>
                </c:pt>
                <c:pt idx="2">
                  <c:v>Mobile phone</c:v>
                </c:pt>
                <c:pt idx="3">
                  <c:v>Water</c:v>
                </c:pt>
                <c:pt idx="4">
                  <c:v>Gas</c:v>
                </c:pt>
                <c:pt idx="5">
                  <c:v>Electricity</c:v>
                </c:pt>
                <c:pt idx="6">
                  <c:v>Waste</c:v>
                </c:pt>
              </c:strCache>
            </c:strRef>
          </c:cat>
          <c:val>
            <c:numRef>
              <c:f>'1'!$M$15:$M$21</c:f>
              <c:numCache>
                <c:formatCode>_-* #,##0.00\ [$zł-415]_-;\-* #,##0.00\ [$zł-415]_-;_-* "-"??\ [$zł-415]_-;_-@_-</c:formatCode>
                <c:ptCount val="7"/>
                <c:pt idx="0">
                  <c:v>1500</c:v>
                </c:pt>
                <c:pt idx="1">
                  <c:v>45</c:v>
                </c:pt>
                <c:pt idx="2">
                  <c:v>30</c:v>
                </c:pt>
                <c:pt idx="3">
                  <c:v>35</c:v>
                </c:pt>
                <c:pt idx="4">
                  <c:v>25</c:v>
                </c:pt>
                <c:pt idx="5">
                  <c:v>70</c:v>
                </c:pt>
                <c:pt idx="6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D5-4B95-AB47-1C83055D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Subscriptions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'1'!$R$14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EB7-41AA-9930-4E61FD57B604}"/>
              </c:ext>
            </c:extLst>
          </c:dPt>
          <c:dPt>
            <c:idx val="1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EB7-41AA-9930-4E61FD57B604}"/>
              </c:ext>
            </c:extLst>
          </c:dPt>
          <c:dPt>
            <c:idx val="2"/>
            <c:bubble3D val="0"/>
            <c:spPr>
              <a:solidFill>
                <a:schemeClr val="accent2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B7-41AA-9930-4E61FD57B604}"/>
              </c:ext>
            </c:extLst>
          </c:dPt>
          <c:dPt>
            <c:idx val="3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B7-41AA-9930-4E61FD57B604}"/>
              </c:ext>
            </c:extLst>
          </c:dPt>
          <c:dLbls>
            <c:dLbl>
              <c:idx val="0"/>
              <c:layout>
                <c:manualLayout>
                  <c:x val="0.17777777777777767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EB7-41AA-9930-4E61FD57B604}"/>
                </c:ext>
              </c:extLst>
            </c:dLbl>
            <c:dLbl>
              <c:idx val="1"/>
              <c:layout>
                <c:manualLayout>
                  <c:x val="0.33333333333333331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EB7-41AA-9930-4E61FD57B604}"/>
                </c:ext>
              </c:extLst>
            </c:dLbl>
            <c:dLbl>
              <c:idx val="2"/>
              <c:layout>
                <c:manualLayout>
                  <c:x val="-0.16666666666666669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EB7-41AA-9930-4E61FD57B604}"/>
                </c:ext>
              </c:extLst>
            </c:dLbl>
            <c:dLbl>
              <c:idx val="3"/>
              <c:layout>
                <c:manualLayout>
                  <c:x val="-0.20555555555555552"/>
                  <c:y val="-5.555555555555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EB7-41AA-9930-4E61FD57B6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'1'!$P$15:$P$18</c:f>
              <c:strCache>
                <c:ptCount val="4"/>
                <c:pt idx="0">
                  <c:v>Netflix</c:v>
                </c:pt>
                <c:pt idx="1">
                  <c:v>Spotify</c:v>
                </c:pt>
                <c:pt idx="2">
                  <c:v>Audible</c:v>
                </c:pt>
                <c:pt idx="3">
                  <c:v>iCloud</c:v>
                </c:pt>
              </c:strCache>
            </c:strRef>
          </c:cat>
          <c:val>
            <c:numRef>
              <c:f>'1'!$R$15:$R$18</c:f>
              <c:numCache>
                <c:formatCode>_-* #,##0.00\ [$zł-415]_-;\-* #,##0.00\ [$zł-415]_-;_-* "-"??\ [$zł-415]_-;_-@_-</c:formatCode>
                <c:ptCount val="4"/>
                <c:pt idx="0">
                  <c:v>33</c:v>
                </c:pt>
                <c:pt idx="1">
                  <c:v>12.99</c:v>
                </c:pt>
                <c:pt idx="2">
                  <c:v>42.69</c:v>
                </c:pt>
                <c:pt idx="3">
                  <c:v>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7-41AA-9930-4E61FD57B6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Savings structure</a:t>
            </a:r>
          </a:p>
        </c:rich>
      </c:tx>
      <c:layout>
        <c:manualLayout>
          <c:xMode val="edge"/>
          <c:yMode val="edge"/>
          <c:x val="0.3414166666666666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'1'!$V$14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3E-49D6-BBCD-A8C9119C4A54}"/>
              </c:ext>
            </c:extLst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B3E-49D6-BBCD-A8C9119C4A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B3E-49D6-BBCD-A8C9119C4A54}"/>
              </c:ext>
            </c:extLst>
          </c:dPt>
          <c:dPt>
            <c:idx val="3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B3E-49D6-BBCD-A8C9119C4A54}"/>
              </c:ext>
            </c:extLst>
          </c:dPt>
          <c:dPt>
            <c:idx val="4"/>
            <c:bubble3D val="0"/>
            <c:spPr>
              <a:solidFill>
                <a:schemeClr val="accent3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B3E-49D6-BBCD-A8C9119C4A54}"/>
              </c:ext>
            </c:extLst>
          </c:dPt>
          <c:dLbls>
            <c:dLbl>
              <c:idx val="0"/>
              <c:layout>
                <c:manualLayout>
                  <c:x val="0.1611111111111112"/>
                  <c:y val="-0.1250000000000000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B3E-49D6-BBCD-A8C9119C4A54}"/>
                </c:ext>
              </c:extLst>
            </c:dLbl>
            <c:dLbl>
              <c:idx val="1"/>
              <c:layout>
                <c:manualLayout>
                  <c:x val="0.20555555555555546"/>
                  <c:y val="6.018518518518518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B3E-49D6-BBCD-A8C9119C4A54}"/>
                </c:ext>
              </c:extLst>
            </c:dLbl>
            <c:dLbl>
              <c:idx val="2"/>
              <c:layout>
                <c:manualLayout>
                  <c:x val="0.19722222222222222"/>
                  <c:y val="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B3E-49D6-BBCD-A8C9119C4A54}"/>
                </c:ext>
              </c:extLst>
            </c:dLbl>
            <c:dLbl>
              <c:idx val="3"/>
              <c:layout>
                <c:manualLayout>
                  <c:x val="-0.16967751704925832"/>
                  <c:y val="-0.203703339165937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36007990652028377"/>
                      <c:h val="0.166458515602216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0B3E-49D6-BBCD-A8C9119C4A54}"/>
                </c:ext>
              </c:extLst>
            </c:dLbl>
            <c:dLbl>
              <c:idx val="4"/>
              <c:layout>
                <c:manualLayout>
                  <c:x val="-0.13611111111111113"/>
                  <c:y val="-0.1203703703703703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B3E-49D6-BBCD-A8C9119C4A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'1'!$U$15:$U$19</c:f>
              <c:strCache>
                <c:ptCount val="5"/>
                <c:pt idx="0">
                  <c:v>Investments</c:v>
                </c:pt>
                <c:pt idx="1">
                  <c:v>Retirement</c:v>
                </c:pt>
                <c:pt idx="2">
                  <c:v>Travel</c:v>
                </c:pt>
                <c:pt idx="3">
                  <c:v>Appliances&amp;Furniture</c:v>
                </c:pt>
                <c:pt idx="4">
                  <c:v>Electronics</c:v>
                </c:pt>
              </c:strCache>
            </c:strRef>
          </c:cat>
          <c:val>
            <c:numRef>
              <c:f>'1'!$V$15:$V$19</c:f>
              <c:numCache>
                <c:formatCode>_-* #,##0.00\ [$zł-415]_-;\-* #,##0.00\ [$zł-415]_-;_-* "-"??\ [$zł-415]_-;_-@_-</c:formatCode>
                <c:ptCount val="5"/>
                <c:pt idx="0">
                  <c:v>350</c:v>
                </c:pt>
                <c:pt idx="1">
                  <c:v>400</c:v>
                </c:pt>
                <c:pt idx="2">
                  <c:v>500</c:v>
                </c:pt>
                <c:pt idx="3">
                  <c:v>150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3E-49D6-BBCD-A8C9119C4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371474</xdr:colOff>
      <xdr:row>0</xdr:row>
      <xdr:rowOff>47625</xdr:rowOff>
    </xdr:from>
    <xdr:to>
      <xdr:col>8</xdr:col>
      <xdr:colOff>761999</xdr:colOff>
      <xdr:row>11</xdr:row>
      <xdr:rowOff>119063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36F10D-0A22-28FB-CFA3-F386AF0C6C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29</xdr:row>
      <xdr:rowOff>119061</xdr:rowOff>
    </xdr:from>
    <xdr:to>
      <xdr:col>3</xdr:col>
      <xdr:colOff>500063</xdr:colOff>
      <xdr:row>40</xdr:row>
      <xdr:rowOff>123824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DD26F06-75A7-5302-F513-A7784B3415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583406</xdr:colOff>
      <xdr:row>27</xdr:row>
      <xdr:rowOff>138112</xdr:rowOff>
    </xdr:from>
    <xdr:to>
      <xdr:col>7</xdr:col>
      <xdr:colOff>542926</xdr:colOff>
      <xdr:row>42</xdr:row>
      <xdr:rowOff>38100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FBAB4FC-E411-67CC-F0EE-738F849646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566737</xdr:colOff>
      <xdr:row>27</xdr:row>
      <xdr:rowOff>176212</xdr:rowOff>
    </xdr:from>
    <xdr:to>
      <xdr:col>12</xdr:col>
      <xdr:colOff>28575</xdr:colOff>
      <xdr:row>42</xdr:row>
      <xdr:rowOff>61912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3478586-D54F-17A5-3747-6F9EC1F12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185737</xdr:colOff>
      <xdr:row>27</xdr:row>
      <xdr:rowOff>157162</xdr:rowOff>
    </xdr:from>
    <xdr:to>
      <xdr:col>17</xdr:col>
      <xdr:colOff>95250</xdr:colOff>
      <xdr:row>42</xdr:row>
      <xdr:rowOff>42862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4AD8F87-0B63-6DFA-9083-62920F49B8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116682</xdr:colOff>
      <xdr:row>28</xdr:row>
      <xdr:rowOff>23812</xdr:rowOff>
    </xdr:from>
    <xdr:to>
      <xdr:col>22</xdr:col>
      <xdr:colOff>204788</xdr:colOff>
      <xdr:row>42</xdr:row>
      <xdr:rowOff>100012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CAD5169-F638-1E1E-FF11-F01DD52A3D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n-A013-20\Downloads\Finanse_YevhenPyrih.xlsx" TargetMode="External"/><Relationship Id="rId1" Type="http://schemas.openxmlformats.org/officeDocument/2006/relationships/externalLinkPath" Target="Finanse_YevhenPyri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tions"/>
      <sheetName val="Summary1"/>
      <sheetName val="Summary2"/>
      <sheetName val="Summary3"/>
      <sheetName val="Dictionary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05D01-09F3-473C-BD5D-530D7D865754}">
  <dimension ref="A1:W25"/>
  <sheetViews>
    <sheetView tabSelected="1" zoomScale="80" zoomScaleNormal="80" workbookViewId="0">
      <selection activeCell="L5" sqref="L5"/>
    </sheetView>
  </sheetViews>
  <sheetFormatPr defaultRowHeight="15" x14ac:dyDescent="0.25"/>
  <cols>
    <col min="1" max="1" width="14.5703125" style="1" customWidth="1"/>
    <col min="2" max="2" width="14.28515625" style="1" bestFit="1" customWidth="1"/>
    <col min="3" max="3" width="14.28515625" style="1" customWidth="1"/>
    <col min="4" max="4" width="16" style="1" customWidth="1"/>
    <col min="5" max="5" width="11.5703125" style="1" customWidth="1"/>
    <col min="6" max="6" width="18.7109375" style="1" customWidth="1"/>
    <col min="7" max="7" width="13.85546875" style="1" customWidth="1"/>
    <col min="8" max="8" width="12.140625" style="1" bestFit="1" customWidth="1"/>
    <col min="9" max="9" width="13.28515625" style="1" customWidth="1"/>
    <col min="10" max="10" width="7" style="1" customWidth="1"/>
    <col min="11" max="11" width="17.140625" style="1" customWidth="1"/>
    <col min="12" max="12" width="14.28515625" style="1" customWidth="1"/>
    <col min="13" max="13" width="20.28515625" style="1" customWidth="1"/>
    <col min="14" max="14" width="9" style="1" customWidth="1"/>
    <col min="15" max="15" width="9.42578125" style="1" customWidth="1"/>
    <col min="16" max="16" width="11.85546875" style="1" bestFit="1" customWidth="1"/>
    <col min="17" max="17" width="18.85546875" style="1" customWidth="1"/>
    <col min="18" max="18" width="10.42578125" customWidth="1"/>
    <col min="19" max="19" width="21.140625" customWidth="1"/>
    <col min="20" max="20" width="8.7109375" customWidth="1"/>
    <col min="21" max="21" width="23.28515625" customWidth="1"/>
    <col min="22" max="22" width="16.42578125" customWidth="1"/>
    <col min="23" max="23" width="12.85546875" customWidth="1"/>
  </cols>
  <sheetData>
    <row r="1" spans="1:23" x14ac:dyDescent="0.25">
      <c r="A1" s="42" t="s">
        <v>37</v>
      </c>
      <c r="B1" s="43"/>
      <c r="C1" s="43"/>
      <c r="D1" s="44"/>
    </row>
    <row r="2" spans="1:23" x14ac:dyDescent="0.25">
      <c r="A2" s="39" t="str" cm="1">
        <f t="array" aca="1" ref="A2" ca="1">_xlfn.TEXTAFTER(CELL("filename", A1), "]")</f>
        <v>1</v>
      </c>
      <c r="B2" s="40"/>
      <c r="C2" s="40"/>
      <c r="D2" s="41"/>
    </row>
    <row r="4" spans="1:23" x14ac:dyDescent="0.25">
      <c r="B4" s="16" t="s">
        <v>9</v>
      </c>
      <c r="C4" s="16" t="s">
        <v>11</v>
      </c>
      <c r="D4" s="16" t="s">
        <v>39</v>
      </c>
    </row>
    <row r="5" spans="1:23" x14ac:dyDescent="0.25">
      <c r="A5" s="16" t="s">
        <v>0</v>
      </c>
      <c r="B5" s="25">
        <f>B25</f>
        <v>5700</v>
      </c>
      <c r="C5" s="25" t="e">
        <f>C25</f>
        <v>#REF!</v>
      </c>
      <c r="D5" s="25" t="e">
        <f>C5-B5</f>
        <v>#REF!</v>
      </c>
    </row>
    <row r="6" spans="1:23" x14ac:dyDescent="0.25">
      <c r="A6" s="16" t="s">
        <v>5</v>
      </c>
      <c r="B6" s="25">
        <f>G25</f>
        <v>3800</v>
      </c>
      <c r="C6" s="25" t="e">
        <f>H25</f>
        <v>#REF!</v>
      </c>
      <c r="D6" s="25" t="e">
        <f t="shared" ref="D6:D7" si="0">B6-C6</f>
        <v>#REF!</v>
      </c>
    </row>
    <row r="7" spans="1:23" x14ac:dyDescent="0.25">
      <c r="A7" s="16" t="s">
        <v>32</v>
      </c>
      <c r="B7" s="25">
        <f>V25</f>
        <v>1900</v>
      </c>
      <c r="C7" s="25">
        <f>W25</f>
        <v>1000</v>
      </c>
      <c r="D7" s="25">
        <f t="shared" si="0"/>
        <v>900</v>
      </c>
    </row>
    <row r="8" spans="1:23" x14ac:dyDescent="0.25">
      <c r="A8" s="15"/>
      <c r="B8" s="26"/>
      <c r="C8" s="26"/>
      <c r="D8" s="26"/>
    </row>
    <row r="9" spans="1:23" x14ac:dyDescent="0.25">
      <c r="A9" s="16" t="s">
        <v>38</v>
      </c>
      <c r="B9" s="25">
        <f>B5-B6-B7</f>
        <v>0</v>
      </c>
      <c r="C9" s="25" t="e">
        <f>C5-C6-C7</f>
        <v>#REF!</v>
      </c>
      <c r="D9" s="25" t="e">
        <f>D5+D6+D7</f>
        <v>#REF!</v>
      </c>
    </row>
    <row r="13" spans="1:23" x14ac:dyDescent="0.25">
      <c r="A13" s="36" t="s">
        <v>0</v>
      </c>
      <c r="B13" s="37"/>
      <c r="C13" s="37"/>
      <c r="D13" s="38"/>
      <c r="E13" s="45"/>
      <c r="F13" s="46" t="s">
        <v>5</v>
      </c>
      <c r="G13" s="47"/>
      <c r="H13" s="47"/>
      <c r="I13" s="48"/>
      <c r="K13" s="23" t="s">
        <v>6</v>
      </c>
      <c r="L13" s="23"/>
      <c r="M13" s="23"/>
      <c r="N13" s="23"/>
      <c r="P13" s="22" t="s">
        <v>7</v>
      </c>
      <c r="Q13" s="22"/>
      <c r="R13" s="22"/>
      <c r="S13" s="22"/>
      <c r="U13" s="24" t="s">
        <v>32</v>
      </c>
      <c r="V13" s="24"/>
      <c r="W13" s="24"/>
    </row>
    <row r="14" spans="1:23" x14ac:dyDescent="0.25">
      <c r="A14" s="9" t="s">
        <v>24</v>
      </c>
      <c r="B14" s="9" t="s">
        <v>9</v>
      </c>
      <c r="C14" s="9" t="s">
        <v>11</v>
      </c>
      <c r="D14" s="9" t="s">
        <v>39</v>
      </c>
      <c r="E14" s="45"/>
      <c r="F14" s="10" t="s">
        <v>8</v>
      </c>
      <c r="G14" s="10" t="s">
        <v>9</v>
      </c>
      <c r="H14" s="10" t="s">
        <v>11</v>
      </c>
      <c r="I14" s="10" t="s">
        <v>39</v>
      </c>
      <c r="K14" s="5"/>
      <c r="L14" s="5" t="s">
        <v>10</v>
      </c>
      <c r="M14" s="5" t="s">
        <v>9</v>
      </c>
      <c r="N14" s="5" t="s">
        <v>11</v>
      </c>
      <c r="P14" s="6"/>
      <c r="Q14" s="6" t="s">
        <v>10</v>
      </c>
      <c r="R14" s="6" t="s">
        <v>9</v>
      </c>
      <c r="S14" s="6" t="s">
        <v>11</v>
      </c>
      <c r="U14" s="13" t="s">
        <v>33</v>
      </c>
      <c r="V14" s="13" t="s">
        <v>9</v>
      </c>
      <c r="W14" s="13" t="s">
        <v>11</v>
      </c>
    </row>
    <row r="15" spans="1:23" x14ac:dyDescent="0.25">
      <c r="A15" s="2" t="s">
        <v>27</v>
      </c>
      <c r="B15" s="29">
        <v>2500</v>
      </c>
      <c r="C15" s="29" t="e">
        <f>_xlfn.XLOOKUP(A15,[1]!Incomes1[Category],[1]!Incomes1[Total],"",0,1)</f>
        <v>#REF!</v>
      </c>
      <c r="D15" s="29" t="e">
        <f>C15-B15</f>
        <v>#REF!</v>
      </c>
      <c r="E15" s="45"/>
      <c r="F15" s="14" t="s">
        <v>12</v>
      </c>
      <c r="G15" s="27">
        <v>1740</v>
      </c>
      <c r="H15" s="28" t="e">
        <f>ABS(_xlfn.XLOOKUP(F15,[1]!Expenses1[Category],[1]!Expenses1[Total],0,1))</f>
        <v>#REF!</v>
      </c>
      <c r="I15" s="28" t="e">
        <f>G15-H15</f>
        <v>#REF!</v>
      </c>
      <c r="K15" s="3" t="s">
        <v>1</v>
      </c>
      <c r="L15" s="19">
        <f ca="1">DATE(2025,$A$2, 10)</f>
        <v>45667</v>
      </c>
      <c r="M15" s="30">
        <v>1500</v>
      </c>
      <c r="N15" s="30"/>
      <c r="P15" s="11" t="s">
        <v>19</v>
      </c>
      <c r="Q15" s="20">
        <f ca="1">DATE(2025,$A$2, RANDBETWEEN(1, 28))</f>
        <v>45665</v>
      </c>
      <c r="R15" s="32">
        <v>33</v>
      </c>
      <c r="S15" s="32"/>
      <c r="U15" s="7" t="s">
        <v>34</v>
      </c>
      <c r="V15" s="34">
        <v>350</v>
      </c>
      <c r="W15" s="34"/>
    </row>
    <row r="16" spans="1:23" x14ac:dyDescent="0.25">
      <c r="A16" s="2" t="s">
        <v>40</v>
      </c>
      <c r="B16" s="29">
        <v>300</v>
      </c>
      <c r="C16" s="29" t="e">
        <f>_xlfn.XLOOKUP(A16,[1]!Incomes1[Category],[1]!Incomes1[Total],"",0,1)</f>
        <v>#REF!</v>
      </c>
      <c r="D16" s="29" t="e">
        <f t="shared" ref="D16:D20" si="1">C16-B16</f>
        <v>#REF!</v>
      </c>
      <c r="E16" s="45"/>
      <c r="F16" s="14" t="s">
        <v>23</v>
      </c>
      <c r="G16" s="27">
        <v>200</v>
      </c>
      <c r="H16" s="28" t="e">
        <f>ABS(_xlfn.XLOOKUP(F16,[1]!Expenses1[Category],[1]!Expenses1[Total],0,1))</f>
        <v>#REF!</v>
      </c>
      <c r="I16" s="28" t="e">
        <f t="shared" ref="I16:I23" si="2">G16-H16</f>
        <v>#REF!</v>
      </c>
      <c r="K16" s="3" t="s">
        <v>2</v>
      </c>
      <c r="L16" s="19">
        <f ca="1">DATE(2025,$A$2, 5)</f>
        <v>45662</v>
      </c>
      <c r="M16" s="30">
        <v>45</v>
      </c>
      <c r="N16" s="30"/>
      <c r="P16" s="11" t="s">
        <v>20</v>
      </c>
      <c r="Q16" s="20">
        <f ca="1">DATE(2025,$A$2, RANDBETWEEN(1, 28))</f>
        <v>45660</v>
      </c>
      <c r="R16" s="32">
        <v>12.99</v>
      </c>
      <c r="S16" s="32"/>
      <c r="U16" s="7" t="s">
        <v>35</v>
      </c>
      <c r="V16" s="34">
        <v>400</v>
      </c>
      <c r="W16" s="34"/>
    </row>
    <row r="17" spans="1:23" x14ac:dyDescent="0.25">
      <c r="A17" s="2" t="s">
        <v>41</v>
      </c>
      <c r="B17" s="29">
        <v>500</v>
      </c>
      <c r="C17" s="29" t="e">
        <f>_xlfn.XLOOKUP(A17,[1]!Incomes1[Category],[1]!Incomes1[Total],"",0,1)</f>
        <v>#REF!</v>
      </c>
      <c r="D17" s="29" t="e">
        <f t="shared" si="1"/>
        <v>#REF!</v>
      </c>
      <c r="E17" s="45"/>
      <c r="F17" s="14" t="s">
        <v>13</v>
      </c>
      <c r="G17" s="27">
        <v>300</v>
      </c>
      <c r="H17" s="28" t="e">
        <f>ABS(_xlfn.XLOOKUP(F17,[1]!Expenses1[Category],[1]!Expenses1[Total],0,1))</f>
        <v>#REF!</v>
      </c>
      <c r="I17" s="28" t="e">
        <f t="shared" si="2"/>
        <v>#REF!</v>
      </c>
      <c r="K17" s="3" t="s">
        <v>15</v>
      </c>
      <c r="L17" s="19">
        <f ca="1">DATE(2025,$A$2, 5)</f>
        <v>45662</v>
      </c>
      <c r="M17" s="30">
        <v>30</v>
      </c>
      <c r="N17" s="30"/>
      <c r="P17" s="11" t="s">
        <v>21</v>
      </c>
      <c r="Q17" s="20">
        <f ca="1">DATE(2025,$A$2, RANDBETWEEN(1, 28))</f>
        <v>45679</v>
      </c>
      <c r="R17" s="32">
        <v>42.69</v>
      </c>
      <c r="S17" s="32"/>
      <c r="U17" s="7" t="s">
        <v>36</v>
      </c>
      <c r="V17" s="34">
        <v>500</v>
      </c>
      <c r="W17" s="34">
        <v>500</v>
      </c>
    </row>
    <row r="18" spans="1:23" x14ac:dyDescent="0.25">
      <c r="A18" s="2" t="s">
        <v>42</v>
      </c>
      <c r="B18" s="29">
        <v>100</v>
      </c>
      <c r="C18" s="29" t="e">
        <f>_xlfn.XLOOKUP(A18,[1]!Incomes1[Category],[1]!Incomes1[Total],"",0,1)</f>
        <v>#REF!</v>
      </c>
      <c r="D18" s="29" t="e">
        <f t="shared" si="1"/>
        <v>#REF!</v>
      </c>
      <c r="E18" s="45"/>
      <c r="F18" s="14" t="s">
        <v>3</v>
      </c>
      <c r="G18" s="28">
        <v>750</v>
      </c>
      <c r="H18" s="28" t="e">
        <f>ABS(_xlfn.XLOOKUP(F18,[1]!Expenses1[Category],[1]!Expenses1[Total],0,1))</f>
        <v>#REF!</v>
      </c>
      <c r="I18" s="28" t="e">
        <f t="shared" si="2"/>
        <v>#REF!</v>
      </c>
      <c r="K18" s="3" t="s">
        <v>14</v>
      </c>
      <c r="L18" s="19">
        <f ca="1">DATE(2025,$A$2, 10)</f>
        <v>45667</v>
      </c>
      <c r="M18" s="30">
        <v>35</v>
      </c>
      <c r="N18" s="30"/>
      <c r="P18" s="11" t="s">
        <v>22</v>
      </c>
      <c r="Q18" s="20">
        <f ca="1">DATE(2025,$A$2, RANDBETWEEN(1, 28))</f>
        <v>45666</v>
      </c>
      <c r="R18" s="32">
        <v>4.99</v>
      </c>
      <c r="S18" s="32"/>
      <c r="U18" s="7" t="s">
        <v>30</v>
      </c>
      <c r="V18" s="34">
        <v>150</v>
      </c>
      <c r="W18" s="34"/>
    </row>
    <row r="19" spans="1:23" x14ac:dyDescent="0.25">
      <c r="A19" s="2" t="s">
        <v>26</v>
      </c>
      <c r="B19" s="29">
        <v>1500</v>
      </c>
      <c r="C19" s="29" t="e">
        <f>_xlfn.XLOOKUP(A19,[1]!Incomes1[Category],[1]!Incomes1[Total],"",0,1)</f>
        <v>#REF!</v>
      </c>
      <c r="D19" s="29" t="e">
        <f t="shared" si="1"/>
        <v>#REF!</v>
      </c>
      <c r="E19" s="45"/>
      <c r="F19" s="14" t="s">
        <v>28</v>
      </c>
      <c r="G19" s="28">
        <v>130</v>
      </c>
      <c r="H19" s="28" t="e">
        <f>ABS(_xlfn.XLOOKUP(F19,[1]!Expenses1[Category],[1]!Expenses1[Total],0,1))</f>
        <v>#REF!</v>
      </c>
      <c r="I19" s="28" t="e">
        <f t="shared" si="2"/>
        <v>#REF!</v>
      </c>
      <c r="K19" s="3" t="s">
        <v>16</v>
      </c>
      <c r="L19" s="19">
        <f ca="1">DATE(2025,$A$2, 10)</f>
        <v>45667</v>
      </c>
      <c r="M19" s="30">
        <v>25</v>
      </c>
      <c r="N19" s="30"/>
      <c r="P19" s="11"/>
      <c r="Q19" s="20"/>
      <c r="R19" s="32"/>
      <c r="S19" s="32"/>
      <c r="U19" s="7" t="s">
        <v>29</v>
      </c>
      <c r="V19" s="34">
        <v>500</v>
      </c>
      <c r="W19" s="34">
        <v>500</v>
      </c>
    </row>
    <row r="20" spans="1:23" x14ac:dyDescent="0.25">
      <c r="A20" s="2" t="s">
        <v>25</v>
      </c>
      <c r="B20" s="29">
        <v>800</v>
      </c>
      <c r="C20" s="29" t="e">
        <f>_xlfn.XLOOKUP(A20,[1]!Incomes1[Category],[1]!Incomes1[Total],"",0,1)</f>
        <v>#REF!</v>
      </c>
      <c r="D20" s="29" t="e">
        <f t="shared" si="1"/>
        <v>#REF!</v>
      </c>
      <c r="E20" s="45"/>
      <c r="F20" s="14" t="s">
        <v>43</v>
      </c>
      <c r="G20" s="28">
        <v>130</v>
      </c>
      <c r="H20" s="28" t="e">
        <f>ABS(_xlfn.XLOOKUP(F20,[1]!Expenses1[Category],[1]!Expenses1[Total],0,1))</f>
        <v>#REF!</v>
      </c>
      <c r="I20" s="28" t="e">
        <f t="shared" si="2"/>
        <v>#REF!</v>
      </c>
      <c r="K20" s="3" t="s">
        <v>17</v>
      </c>
      <c r="L20" s="19">
        <f ca="1">DATE(2025,$A$2, 10)</f>
        <v>45667</v>
      </c>
      <c r="M20" s="30">
        <v>70</v>
      </c>
      <c r="N20" s="30"/>
      <c r="P20" s="11"/>
      <c r="Q20" s="20"/>
      <c r="R20" s="32"/>
      <c r="S20" s="32"/>
      <c r="U20" s="7"/>
      <c r="V20" s="34"/>
      <c r="W20" s="34"/>
    </row>
    <row r="21" spans="1:23" x14ac:dyDescent="0.25">
      <c r="A21" s="2"/>
      <c r="B21" s="29"/>
      <c r="C21" s="29"/>
      <c r="D21" s="29"/>
      <c r="E21" s="45"/>
      <c r="F21" s="14" t="s">
        <v>44</v>
      </c>
      <c r="G21" s="28">
        <v>200</v>
      </c>
      <c r="H21" s="28" t="e">
        <f>ABS(_xlfn.XLOOKUP(F21,[1]!Expenses1[Category],[1]!Expenses1[Total],0,1))</f>
        <v>#REF!</v>
      </c>
      <c r="I21" s="28" t="e">
        <f t="shared" si="2"/>
        <v>#REF!</v>
      </c>
      <c r="K21" s="3" t="s">
        <v>18</v>
      </c>
      <c r="L21" s="19">
        <f ca="1">DATE(2025,$A$2, 10)</f>
        <v>45667</v>
      </c>
      <c r="M21" s="30">
        <v>35</v>
      </c>
      <c r="N21" s="30"/>
      <c r="P21" s="11"/>
      <c r="Q21" s="20"/>
      <c r="R21" s="32"/>
      <c r="S21" s="32"/>
      <c r="U21" s="7"/>
      <c r="V21" s="34"/>
      <c r="W21" s="34"/>
    </row>
    <row r="22" spans="1:23" x14ac:dyDescent="0.25">
      <c r="A22" s="2"/>
      <c r="B22" s="29"/>
      <c r="C22" s="29"/>
      <c r="D22" s="29"/>
      <c r="E22" s="45"/>
      <c r="F22" s="14" t="s">
        <v>45</v>
      </c>
      <c r="G22" s="27">
        <v>200</v>
      </c>
      <c r="H22" s="28" t="e">
        <f>ABS(_xlfn.XLOOKUP(F22,[1]!Expenses1[Category],[1]!Expenses1[Total],0,1))</f>
        <v>#REF!</v>
      </c>
      <c r="I22" s="28" t="e">
        <f t="shared" si="2"/>
        <v>#REF!</v>
      </c>
      <c r="K22" s="3"/>
      <c r="L22" s="17"/>
      <c r="M22" s="30"/>
      <c r="N22" s="30"/>
      <c r="P22" s="11"/>
      <c r="Q22" s="20"/>
      <c r="R22" s="32"/>
      <c r="S22" s="32"/>
      <c r="U22" s="7"/>
      <c r="V22" s="34"/>
      <c r="W22" s="34"/>
    </row>
    <row r="23" spans="1:23" x14ac:dyDescent="0.25">
      <c r="A23" s="2"/>
      <c r="B23" s="29"/>
      <c r="C23" s="29"/>
      <c r="D23" s="29"/>
      <c r="E23" s="45"/>
      <c r="F23" s="14" t="s">
        <v>4</v>
      </c>
      <c r="G23" s="27">
        <v>150</v>
      </c>
      <c r="H23" s="28" t="e">
        <f>ABS(_xlfn.XLOOKUP(F23,[1]!Expenses1[Category],[1]!Expenses1[Total],0,1))</f>
        <v>#REF!</v>
      </c>
      <c r="I23" s="28" t="e">
        <f t="shared" si="2"/>
        <v>#REF!</v>
      </c>
      <c r="K23" s="3"/>
      <c r="L23" s="17"/>
      <c r="M23" s="30"/>
      <c r="N23" s="30"/>
      <c r="P23" s="11"/>
      <c r="Q23" s="20"/>
      <c r="R23" s="32"/>
      <c r="S23" s="32"/>
      <c r="U23" s="7"/>
      <c r="V23" s="34"/>
      <c r="W23" s="34"/>
    </row>
    <row r="24" spans="1:23" ht="15.75" thickBot="1" x14ac:dyDescent="0.3">
      <c r="A24" s="2"/>
      <c r="B24" s="29"/>
      <c r="C24" s="29"/>
      <c r="D24" s="29"/>
      <c r="E24" s="45"/>
      <c r="F24" s="14"/>
      <c r="G24" s="27"/>
      <c r="H24" s="28"/>
      <c r="I24" s="28"/>
      <c r="K24" s="4"/>
      <c r="L24" s="18"/>
      <c r="M24" s="31"/>
      <c r="N24" s="31"/>
      <c r="P24" s="12"/>
      <c r="Q24" s="21"/>
      <c r="R24" s="33"/>
      <c r="S24" s="33"/>
      <c r="U24" s="8"/>
      <c r="V24" s="35"/>
      <c r="W24" s="35"/>
    </row>
    <row r="25" spans="1:23" ht="15.75" thickBot="1" x14ac:dyDescent="0.3">
      <c r="A25" s="50" t="s">
        <v>31</v>
      </c>
      <c r="B25" s="49">
        <f>SUM(B15:B24)</f>
        <v>5700</v>
      </c>
      <c r="C25" s="49" t="e">
        <f>SUM(C15:C24)</f>
        <v>#REF!</v>
      </c>
      <c r="D25" s="49" t="e">
        <f>SUM(D15:D24)</f>
        <v>#REF!</v>
      </c>
      <c r="E25" s="45"/>
      <c r="F25" s="51" t="s">
        <v>31</v>
      </c>
      <c r="G25" s="52">
        <f>SUM(G15:G24)</f>
        <v>3800</v>
      </c>
      <c r="H25" s="52" t="e">
        <f>SUM(H15:H24)</f>
        <v>#REF!</v>
      </c>
      <c r="I25" s="52" t="e">
        <f>SUM(I15:I24)</f>
        <v>#REF!</v>
      </c>
      <c r="K25" s="53" t="s">
        <v>31</v>
      </c>
      <c r="L25" s="53"/>
      <c r="M25" s="54">
        <f>SUM(M15:M24)</f>
        <v>1740</v>
      </c>
      <c r="N25" s="54">
        <f>SUM(N15:N24)</f>
        <v>0</v>
      </c>
      <c r="P25" s="55" t="s">
        <v>31</v>
      </c>
      <c r="Q25" s="56"/>
      <c r="R25" s="57">
        <f>SUM(R15:R24)</f>
        <v>93.67</v>
      </c>
      <c r="S25" s="57">
        <f>SUM(S15:S24)</f>
        <v>0</v>
      </c>
      <c r="U25" s="58" t="s">
        <v>31</v>
      </c>
      <c r="V25" s="59">
        <f>SUM(V15:V24)</f>
        <v>1900</v>
      </c>
      <c r="W25" s="59">
        <f>SUM(W15:W24)</f>
        <v>1000</v>
      </c>
    </row>
  </sheetData>
  <sortState xmlns:xlrd2="http://schemas.microsoft.com/office/spreadsheetml/2017/richdata2" ref="A15:A20">
    <sortCondition ref="A15:A20"/>
  </sortState>
  <mergeCells count="7">
    <mergeCell ref="A1:D1"/>
    <mergeCell ref="A2:D2"/>
    <mergeCell ref="A13:D13"/>
    <mergeCell ref="P13:S13"/>
    <mergeCell ref="K13:N13"/>
    <mergeCell ref="U13:W13"/>
    <mergeCell ref="F13:I13"/>
  </mergeCells>
  <conditionalFormatting sqref="B9:D9">
    <cfRule type="cellIs" dxfId="4" priority="5" operator="lessThan">
      <formula>0</formula>
    </cfRule>
  </conditionalFormatting>
  <conditionalFormatting sqref="L15:L24">
    <cfRule type="cellIs" dxfId="3" priority="1" operator="equal">
      <formula>TODAY()</formula>
    </cfRule>
    <cfRule type="cellIs" dxfId="2" priority="2" operator="lessThan">
      <formula>TODAY()</formula>
    </cfRule>
  </conditionalFormatting>
  <conditionalFormatting sqref="Q15:Q24">
    <cfRule type="cellIs" dxfId="1" priority="3" operator="equal">
      <formula>TODAY()</formula>
    </cfRule>
    <cfRule type="cellIs" dxfId="0" priority="4" operator="lessThan">
      <formula>TODAY()</formula>
    </cfRule>
  </conditionalFormatting>
  <pageMargins left="0.7" right="0.7" top="0.75" bottom="0.75" header="0.3" footer="0.3"/>
  <pageSetup paperSize="9" scale="34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</vt:lpstr>
    </vt:vector>
  </TitlesOfParts>
  <Company>Uniwersytet Ekonomiczny w Krakowie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RisSetupInstall</dc:creator>
  <cp:lastModifiedBy>RisSetupInstall</cp:lastModifiedBy>
  <dcterms:created xsi:type="dcterms:W3CDTF">2025-10-29T14:06:24Z</dcterms:created>
  <dcterms:modified xsi:type="dcterms:W3CDTF">2025-12-10T15:17:03Z</dcterms:modified>
</cp:coreProperties>
</file>