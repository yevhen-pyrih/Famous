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aldi\Завантаження\Bussiness data processing\"/>
    </mc:Choice>
  </mc:AlternateContent>
  <xr:revisionPtr revIDLastSave="0" documentId="13_ncr:1_{8D4D3D74-6DAC-4BF8-821C-F8529B43DF82}" xr6:coauthVersionLast="47" xr6:coauthVersionMax="47" xr10:uidLastSave="{00000000-0000-0000-0000-000000000000}"/>
  <bookViews>
    <workbookView xWindow="-108" yWindow="-108" windowWidth="23256" windowHeight="12720" xr2:uid="{5FB55F4A-ADCD-4FB3-95A5-9868C5662823}"/>
  </bookViews>
  <sheets>
    <sheet name="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B25" i="1"/>
  <c r="X15" i="1"/>
  <c r="X16" i="1"/>
  <c r="X17" i="1"/>
  <c r="X18" i="1"/>
  <c r="X19" i="1"/>
  <c r="X20" i="1"/>
  <c r="X21" i="1"/>
  <c r="X22" i="1"/>
  <c r="X23" i="1"/>
  <c r="X24" i="1"/>
  <c r="V25" i="1"/>
  <c r="W25" i="1"/>
  <c r="S25" i="1"/>
  <c r="R25" i="1"/>
  <c r="M25" i="1"/>
  <c r="N25" i="1"/>
  <c r="X25" i="1" l="1"/>
  <c r="H18" i="1" l="1"/>
  <c r="H21" i="1"/>
  <c r="H17" i="1"/>
  <c r="H23" i="1"/>
  <c r="H19" i="1"/>
  <c r="H22" i="1"/>
  <c r="H20" i="1"/>
  <c r="H16" i="1"/>
  <c r="H15" i="1"/>
  <c r="H25" i="1" s="1"/>
  <c r="A2" i="1" l="1" a="1"/>
  <c r="A2" i="1" s="1"/>
  <c r="B6" i="1" a="1"/>
  <c r="C6" i="1" a="1"/>
  <c r="B5" i="1" a="1"/>
  <c r="B6" i="1" l="1"/>
  <c r="C6" i="1"/>
  <c r="B5" i="1"/>
  <c r="Q17" i="1"/>
  <c r="L17" i="1"/>
  <c r="L18" i="1"/>
  <c r="Q15" i="1"/>
  <c r="Q18" i="1"/>
  <c r="Q16" i="1"/>
  <c r="L21" i="1"/>
  <c r="L16" i="1"/>
  <c r="L20" i="1"/>
  <c r="L15" i="1"/>
  <c r="L19" i="1"/>
  <c r="C7" i="1" a="1"/>
  <c r="B7" i="1" a="1"/>
  <c r="C7" i="1" l="1"/>
  <c r="B7" i="1"/>
  <c r="I18" i="1"/>
  <c r="I21" i="1"/>
  <c r="I17" i="1"/>
  <c r="I23" i="1"/>
  <c r="I19" i="1"/>
  <c r="I22" i="1"/>
  <c r="I20" i="1"/>
  <c r="I16" i="1"/>
  <c r="C20" i="1"/>
  <c r="D20" i="1" s="1"/>
  <c r="C18" i="1"/>
  <c r="D18" i="1" s="1"/>
  <c r="C17" i="1"/>
  <c r="D17" i="1" s="1"/>
  <c r="C16" i="1"/>
  <c r="C19" i="1"/>
  <c r="D19" i="1" s="1"/>
  <c r="D7" i="1" l="1"/>
  <c r="D6" i="1"/>
  <c r="I15" i="1"/>
  <c r="I25" i="1" s="1"/>
  <c r="D16" i="1"/>
  <c r="C15" i="1"/>
  <c r="C25" i="1" s="1"/>
  <c r="D15" i="1" l="1"/>
  <c r="D25" i="1" s="1"/>
  <c r="C5" i="1" a="1"/>
  <c r="C5" i="1" l="1"/>
  <c r="C9" i="1"/>
  <c r="B9" i="1"/>
  <c r="D5" i="1" l="1"/>
  <c r="D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<sst xmlns="http://schemas.openxmlformats.org/spreadsheetml/2006/main" count="69" uniqueCount="48">
  <si>
    <t>Income</t>
  </si>
  <si>
    <t>Rent</t>
  </si>
  <si>
    <t>Internet</t>
  </si>
  <si>
    <t>Groceries</t>
  </si>
  <si>
    <t>Transportation</t>
  </si>
  <si>
    <t>Expences</t>
  </si>
  <si>
    <t>Bills</t>
  </si>
  <si>
    <t>Subscriptions</t>
  </si>
  <si>
    <t>Category</t>
  </si>
  <si>
    <t>Planned</t>
  </si>
  <si>
    <t>Due</t>
  </si>
  <si>
    <t>Actual</t>
  </si>
  <si>
    <t>Accomodation</t>
  </si>
  <si>
    <t>Entertainment</t>
  </si>
  <si>
    <t>Water</t>
  </si>
  <si>
    <t>Mobile phone</t>
  </si>
  <si>
    <t>Gas</t>
  </si>
  <si>
    <t>Electricity</t>
  </si>
  <si>
    <t>Waste</t>
  </si>
  <si>
    <t>Netflix</t>
  </si>
  <si>
    <t>Spotify</t>
  </si>
  <si>
    <t>Audible</t>
  </si>
  <si>
    <t>iCloud</t>
  </si>
  <si>
    <t>Clothing</t>
  </si>
  <si>
    <t>Source</t>
  </si>
  <si>
    <t>Scholarship</t>
  </si>
  <si>
    <t>Salary</t>
  </si>
  <si>
    <t>Allowance</t>
  </si>
  <si>
    <t>Health&amp;Beauty</t>
  </si>
  <si>
    <t>Electronics</t>
  </si>
  <si>
    <t>Appliances&amp;Furniture</t>
  </si>
  <si>
    <t>Savings</t>
  </si>
  <si>
    <t>Aim</t>
  </si>
  <si>
    <t>Investments</t>
  </si>
  <si>
    <t>Retirement</t>
  </si>
  <si>
    <t>Travel</t>
  </si>
  <si>
    <t>Month</t>
  </si>
  <si>
    <t>Balance</t>
  </si>
  <si>
    <t>Left</t>
  </si>
  <si>
    <t>Financial</t>
  </si>
  <si>
    <t>Gift</t>
  </si>
  <si>
    <t>Other incoms</t>
  </si>
  <si>
    <t>Multimedia</t>
  </si>
  <si>
    <t>Other expences</t>
  </si>
  <si>
    <t>Studies</t>
  </si>
  <si>
    <t>Total</t>
  </si>
  <si>
    <t>Bill</t>
  </si>
  <si>
    <t>Subscription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</si>
</sst>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zł&quot;_-;\-* #,##0.00\ &quot;zł&quot;_-;_-* &quot;-&quot;??\ &quot;zł&quot;_-;_-@_-"/>
    <numFmt numFmtId="165" formatCode="dd\-mmmm"/>
    <numFmt numFmtId="166" formatCode="d\ mmmm"/>
    <numFmt numFmtId="167" formatCode="_-* #,##0.00\ [$zł-415]_-;\-* #,##0.00\ [$zł-415]_-;_-* &quot;-&quot;??\ [$zł-415]_-;_-@_-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B7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C9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14" borderId="1" xfId="0" applyNumberFormat="1" applyFill="1" applyBorder="1" applyAlignment="1">
      <alignment horizontal="center" vertical="center"/>
    </xf>
    <xf numFmtId="166" fontId="0" fillId="14" borderId="2" xfId="0" applyNumberFormat="1" applyFill="1" applyBorder="1" applyAlignment="1">
      <alignment horizontal="center" vertical="center"/>
    </xf>
    <xf numFmtId="167" fontId="0" fillId="18" borderId="1" xfId="0" applyNumberForma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16" borderId="1" xfId="1" applyNumberFormat="1" applyFont="1" applyFill="1" applyBorder="1" applyAlignment="1">
      <alignment horizontal="center" vertical="center"/>
    </xf>
    <xf numFmtId="167" fontId="0" fillId="16" borderId="1" xfId="0" applyNumberFormat="1" applyFill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7" fontId="0" fillId="3" borderId="2" xfId="1" applyNumberFormat="1" applyFont="1" applyFill="1" applyBorder="1" applyAlignment="1">
      <alignment horizontal="center" vertical="center"/>
    </xf>
    <xf numFmtId="167" fontId="0" fillId="14" borderId="1" xfId="0" applyNumberFormat="1" applyFill="1" applyBorder="1" applyAlignment="1">
      <alignment horizontal="center" vertical="center"/>
    </xf>
    <xf numFmtId="167" fontId="0" fillId="14" borderId="2" xfId="0" applyNumberFormat="1" applyFill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7" fontId="0" fillId="7" borderId="2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167" fontId="4" fillId="10" borderId="1" xfId="0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67" fontId="0" fillId="2" borderId="4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167" fontId="0" fillId="16" borderId="4" xfId="0" applyNumberForma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167" fontId="0" fillId="16" borderId="2" xfId="1" applyNumberFormat="1" applyFont="1" applyFill="1" applyBorder="1" applyAlignment="1">
      <alignment horizontal="center" vertical="center"/>
    </xf>
    <xf numFmtId="167" fontId="0" fillId="16" borderId="2" xfId="0" applyNumberFormat="1" applyFill="1" applyBorder="1" applyAlignment="1">
      <alignment horizontal="center" vertical="center"/>
    </xf>
    <xf numFmtId="167" fontId="0" fillId="16" borderId="8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67" fontId="0" fillId="3" borderId="4" xfId="1" applyNumberFormat="1" applyFont="1" applyFill="1" applyBorder="1" applyAlignment="1">
      <alignment horizontal="center" vertical="center"/>
    </xf>
    <xf numFmtId="167" fontId="0" fillId="3" borderId="8" xfId="1" applyNumberFormat="1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center" vertical="center"/>
    </xf>
    <xf numFmtId="167" fontId="4" fillId="12" borderId="12" xfId="0" applyNumberFormat="1" applyFont="1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167" fontId="0" fillId="14" borderId="4" xfId="0" applyNumberFormat="1" applyFill="1" applyBorder="1" applyAlignment="1">
      <alignment horizontal="center" vertical="center"/>
    </xf>
    <xf numFmtId="167" fontId="0" fillId="14" borderId="8" xfId="0" applyNumberFormat="1" applyFill="1" applyBorder="1" applyAlignment="1">
      <alignment horizontal="center" vertical="center"/>
    </xf>
    <xf numFmtId="0" fontId="4" fillId="13" borderId="12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67" fontId="4" fillId="13" borderId="12" xfId="0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67" fontId="0" fillId="7" borderId="4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167" fontId="4" fillId="6" borderId="12" xfId="0" applyNumberFormat="1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67" fontId="0" fillId="2" borderId="2" xfId="0" applyNumberFormat="1" applyFill="1" applyBorder="1" applyAlignment="1">
      <alignment horizontal="center" vertical="center"/>
    </xf>
    <xf numFmtId="167" fontId="0" fillId="2" borderId="8" xfId="0" applyNumberForma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7" fontId="5" fillId="12" borderId="12" xfId="0" applyNumberFormat="1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6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00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00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00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color rgb="FF7030A0"/>
      </font>
    </dxf>
    <dxf>
      <font>
        <color rgb="FFFF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FF006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-* #,##0.00\ [$zł-415]_-;\-* #,##0.00\ [$zł-415]_-;_-* &quot;-&quot;??\ [$zł-415]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66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66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66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rgb="FFFF66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rgb="FFFFB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rgb="FFFFB7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B7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99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\ mmmm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38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\-mmmm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rgb="FFFF99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rgb="FFFF99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67" formatCode="_-* #,##0.00\ [$zł-415]_-;\-* #,##0.00\ [$zł-415]_-;_-* &quot;-&quot;??\ [$zł-415]_-;_-@_-"/>
      <fill>
        <patternFill patternType="solid">
          <fgColor indexed="64"/>
          <bgColor rgb="FFFF99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99C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66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_-* #,##0.00\ [$zł-415]_-;\-* #,##0.00\ [$zł-415]_-;_-* &quot;-&quot;??\ [$zł-415]_-;_-@_-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0066"/>
      <color rgb="FFFFCC99"/>
      <color rgb="FFFF9900"/>
      <color rgb="FFFF99CC"/>
      <color rgb="FFFF6699"/>
      <color rgb="FFFF99FF"/>
      <color rgb="FFFF66FF"/>
      <color rgb="FFFFB7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0647680374888094"/>
          <c:y val="0.23167760222027581"/>
          <c:w val="0.61271527657910585"/>
          <c:h val="0.63236188575769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'1'!$B$4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'1'!$B$5:$B$7</c:f>
              <c:numCache>
                <c:formatCode>_-* #\ ##0.00\ [$zł-415]_-;\-* #\ ##0.00\ [$zł-415]_-;_-* "-"??\ [$zł-415]_-;_-@_-</c:formatCode>
                <c:ptCount val="3"/>
                <c:pt idx="0">
                  <c:v>5700</c:v>
                </c:pt>
                <c:pt idx="1">
                  <c:v>3800</c:v>
                </c:pt>
                <c:pt idx="2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0-42F2-AA21-7DD576DB8080}"/>
            </c:ext>
          </c:extLst>
        </c:ser>
        <c:ser>
          <c:idx val="1"/>
          <c:order val="1"/>
          <c:tx>
            <c:strRef>
              <c:f>'1'!$C$4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'1'!$A$5:$A$7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'1'!$C$5:$C$7</c:f>
              <c:numCache>
                <c:formatCode>_-* #\ ##0.00\ [$zł-415]_-;\-* #\ ##0.00\ [$zł-415]_-;_-* "-"??\ [$zł-415]_-;_-@_-</c:formatCode>
                <c:ptCount val="3"/>
                <c:pt idx="0">
                  <c:v>5655.5</c:v>
                </c:pt>
                <c:pt idx="1">
                  <c:v>4810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0-42F2-AA21-7DD576DB8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911614703"/>
        <c:axId val="911618063"/>
      </c:barChart>
      <c:catAx>
        <c:axId val="91161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1618063"/>
        <c:crosses val="autoZero"/>
        <c:auto val="1"/>
        <c:lblAlgn val="ctr"/>
        <c:lblOffset val="100"/>
        <c:noMultiLvlLbl val="0"/>
      </c:catAx>
      <c:valAx>
        <c:axId val="9116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zł-415]_-;\-* #\ 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161470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structure</a:t>
            </a:r>
          </a:p>
        </c:rich>
      </c:tx>
      <c:layout>
        <c:manualLayout>
          <c:xMode val="edge"/>
          <c:yMode val="edge"/>
          <c:x val="0.26334198660143271"/>
          <c:y val="2.7777949713916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'1'!$B$14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21-4599-B1E2-2FE59AF2D6AD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21-4599-B1E2-2FE59AF2D6AD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F21-4599-B1E2-2FE59AF2D6AD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21-4599-B1E2-2FE59AF2D6AD}"/>
              </c:ext>
            </c:extLst>
          </c:dPt>
          <c:dLbls>
            <c:dLbl>
              <c:idx val="0"/>
              <c:layout>
                <c:manualLayout>
                  <c:x val="0.14166666666666666"/>
                  <c:y val="-0.1296296296296296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21-4599-B1E2-2FE59AF2D6AD}"/>
                </c:ext>
              </c:extLst>
            </c:dLbl>
            <c:dLbl>
              <c:idx val="1"/>
              <c:layout>
                <c:manualLayout>
                  <c:x val="9.1666666666666563E-2"/>
                  <c:y val="-5.55555555555556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21-4599-B1E2-2FE59AF2D6AD}"/>
                </c:ext>
              </c:extLst>
            </c:dLbl>
            <c:dLbl>
              <c:idx val="2"/>
              <c:layout>
                <c:manualLayout>
                  <c:x val="-0.14722222222222223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21-4599-B1E2-2FE59AF2D6AD}"/>
                </c:ext>
              </c:extLst>
            </c:dLbl>
            <c:dLbl>
              <c:idx val="3"/>
              <c:layout>
                <c:manualLayout>
                  <c:x val="-0.18611111111111112"/>
                  <c:y val="-9.25925925925925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21-4599-B1E2-2FE59AF2D6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'1'!$A$15:$A$18</c:f>
              <c:strCache>
                <c:ptCount val="4"/>
                <c:pt idx="0">
                  <c:v>Allowance</c:v>
                </c:pt>
                <c:pt idx="1">
                  <c:v>Financial</c:v>
                </c:pt>
                <c:pt idx="2">
                  <c:v>Gift</c:v>
                </c:pt>
                <c:pt idx="3">
                  <c:v>Other incoms</c:v>
                </c:pt>
              </c:strCache>
            </c:strRef>
          </c:cat>
          <c:val>
            <c:numRef>
              <c:f>'1'!$B$15:$B$18</c:f>
              <c:numCache>
                <c:formatCode>_-* #\ ##0.00\ [$zł-415]_-;\-* #\ ##0.00\ [$zł-415]_-;_-* "-"??\ [$zł-415]_-;_-@_-</c:formatCode>
                <c:ptCount val="4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1-4599-B1E2-2FE59AF2D6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Expences</a:t>
            </a:r>
            <a:r>
              <a:rPr lang="en-US" baseline="0"/>
              <a:t> 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363646655806978"/>
          <c:y val="0.18436236168570816"/>
          <c:w val="0.4527270668838605"/>
          <c:h val="0.66853491293525125"/>
        </c:manualLayout>
      </c:layout>
      <c:doughnutChart>
        <c:varyColors val="1"/>
        <c:ser>
          <c:idx val="0"/>
          <c:order val="0"/>
          <c:tx>
            <c:strRef>
              <c:f>'1'!$G$14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tint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0-43D9-9439-EC739F041A19}"/>
              </c:ext>
            </c:extLst>
          </c:dPt>
          <c:dPt>
            <c:idx val="1"/>
            <c:bubble3D val="0"/>
            <c:spPr>
              <a:solidFill>
                <a:schemeClr val="accent4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A0-43D9-9439-EC739F041A19}"/>
              </c:ext>
            </c:extLst>
          </c:dPt>
          <c:dPt>
            <c:idx val="2"/>
            <c:bubble3D val="0"/>
            <c:spPr>
              <a:solidFill>
                <a:schemeClr val="accent4">
                  <a:tint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A0-43D9-9439-EC739F041A19}"/>
              </c:ext>
            </c:extLst>
          </c:dPt>
          <c:dPt>
            <c:idx val="3"/>
            <c:bubble3D val="0"/>
            <c:spPr>
              <a:solidFill>
                <a:schemeClr val="accent4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40A0-43D9-9439-EC739F041A19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40A0-43D9-9439-EC739F041A19}"/>
              </c:ext>
            </c:extLst>
          </c:dPt>
          <c:dPt>
            <c:idx val="5"/>
            <c:bubble3D val="0"/>
            <c:spPr>
              <a:solidFill>
                <a:schemeClr val="accent4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A0-43D9-9439-EC739F041A19}"/>
              </c:ext>
            </c:extLst>
          </c:dPt>
          <c:dPt>
            <c:idx val="6"/>
            <c:bubble3D val="0"/>
            <c:spPr>
              <a:solidFill>
                <a:schemeClr val="accent4">
                  <a:shade val="7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0A0-43D9-9439-EC739F041A19}"/>
              </c:ext>
            </c:extLst>
          </c:dPt>
          <c:dPt>
            <c:idx val="7"/>
            <c:bubble3D val="0"/>
            <c:spPr>
              <a:solidFill>
                <a:schemeClr val="accent4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0A0-43D9-9439-EC739F041A19}"/>
              </c:ext>
            </c:extLst>
          </c:dPt>
          <c:dPt>
            <c:idx val="8"/>
            <c:bubble3D val="0"/>
            <c:spPr>
              <a:solidFill>
                <a:schemeClr val="accent4">
                  <a:shade val="4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A0-43D9-9439-EC739F041A19}"/>
              </c:ext>
            </c:extLst>
          </c:dPt>
          <c:dLbls>
            <c:dLbl>
              <c:idx val="0"/>
              <c:layout>
                <c:manualLayout>
                  <c:x val="0.1909355714808105"/>
                  <c:y val="0.1053299234665753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A0-43D9-9439-EC739F041A19}"/>
                </c:ext>
              </c:extLst>
            </c:dLbl>
            <c:dLbl>
              <c:idx val="1"/>
              <c:layout>
                <c:manualLayout>
                  <c:x val="0.27222222222222231"/>
                  <c:y val="-4.166666666666675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A0-43D9-9439-EC739F041A19}"/>
                </c:ext>
              </c:extLst>
            </c:dLbl>
            <c:dLbl>
              <c:idx val="2"/>
              <c:layout>
                <c:manualLayout>
                  <c:x val="-0.1953703137497885"/>
                  <c:y val="0.189335003452417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A0-43D9-9439-EC739F041A19}"/>
                </c:ext>
              </c:extLst>
            </c:dLbl>
            <c:dLbl>
              <c:idx val="3"/>
              <c:layout>
                <c:manualLayout>
                  <c:x val="-0.20000000000000004"/>
                  <c:y val="9.722222222222222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A0-43D9-9439-EC739F041A19}"/>
                </c:ext>
              </c:extLst>
            </c:dLbl>
            <c:dLbl>
              <c:idx val="4"/>
              <c:layout>
                <c:manualLayout>
                  <c:x val="-0.27144242583201761"/>
                  <c:y val="0.157383459148326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0A0-43D9-9439-EC739F041A19}"/>
                </c:ext>
              </c:extLst>
            </c:dLbl>
            <c:dLbl>
              <c:idx val="5"/>
              <c:layout>
                <c:manualLayout>
                  <c:x val="-0.30833333333333335"/>
                  <c:y val="9.25925925925925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A0-43D9-9439-EC739F041A19}"/>
                </c:ext>
              </c:extLst>
            </c:dLbl>
            <c:dLbl>
              <c:idx val="6"/>
              <c:layout>
                <c:manualLayout>
                  <c:x val="-0.28333333333333333"/>
                  <c:y val="-2.314814814814814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A0-43D9-9439-EC739F041A19}"/>
                </c:ext>
              </c:extLst>
            </c:dLbl>
            <c:dLbl>
              <c:idx val="7"/>
              <c:layout>
                <c:manualLayout>
                  <c:x val="-0.29756327390955511"/>
                  <c:y val="-0.147931740772761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1221044814276438"/>
                      <c:h val="0.1655960062201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0A0-43D9-9439-EC739F041A19}"/>
                </c:ext>
              </c:extLst>
            </c:dLbl>
            <c:dLbl>
              <c:idx val="8"/>
              <c:layout>
                <c:manualLayout>
                  <c:x val="0.32046771820501241"/>
                  <c:y val="-0.138769053573397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A0-43D9-9439-EC739F041A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'1'!$F$15:$F$23</c:f>
              <c:strCache>
                <c:ptCount val="9"/>
                <c:pt idx="0">
                  <c:v>Accomodation</c:v>
                </c:pt>
                <c:pt idx="1">
                  <c:v>Clothing</c:v>
                </c:pt>
                <c:pt idx="2">
                  <c:v>Entertainment</c:v>
                </c:pt>
                <c:pt idx="3">
                  <c:v>Groceries</c:v>
                </c:pt>
                <c:pt idx="4">
                  <c:v>Health&amp;Beauty</c:v>
                </c:pt>
                <c:pt idx="5">
                  <c:v>Multimedia</c:v>
                </c:pt>
                <c:pt idx="6">
                  <c:v>Other expences</c:v>
                </c:pt>
                <c:pt idx="7">
                  <c:v>Studies</c:v>
                </c:pt>
                <c:pt idx="8">
                  <c:v>Transportation</c:v>
                </c:pt>
              </c:strCache>
            </c:strRef>
          </c:cat>
          <c:val>
            <c:numRef>
              <c:f>'1'!$G$15:$G$23</c:f>
              <c:numCache>
                <c:formatCode>_-* #\ ##0.00\ [$zł-415]_-;\-* #\ ##0.00\ [$zł-415]_-;_-* "-"??\ [$zł-415]_-;_-@_-</c:formatCode>
                <c:ptCount val="9"/>
                <c:pt idx="0">
                  <c:v>1740</c:v>
                </c:pt>
                <c:pt idx="1">
                  <c:v>200</c:v>
                </c:pt>
                <c:pt idx="2">
                  <c:v>300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A0-43D9-9439-EC739F04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Bills</a:t>
            </a:r>
            <a:r>
              <a:rPr lang="en-US" baseline="0"/>
              <a:t>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0531780402449693"/>
          <c:y val="0.21740449110527851"/>
          <c:w val="0.40047572178477692"/>
          <c:h val="0.66745953630796151"/>
        </c:manualLayout>
      </c:layout>
      <c:doughnutChart>
        <c:varyColors val="1"/>
        <c:ser>
          <c:idx val="0"/>
          <c:order val="0"/>
          <c:tx>
            <c:strRef>
              <c:f>'1'!$M$14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4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D5-4B95-AB47-1C83055DBC8A}"/>
              </c:ext>
            </c:extLst>
          </c:dPt>
          <c:dPt>
            <c:idx val="1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9D5-4B95-AB47-1C83055DBC8A}"/>
              </c:ext>
            </c:extLst>
          </c:dPt>
          <c:dPt>
            <c:idx val="2"/>
            <c:bubble3D val="0"/>
            <c:spPr>
              <a:solidFill>
                <a:schemeClr val="accent1">
                  <a:shade val="8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9D5-4B95-AB47-1C83055DBC8A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D5-4B95-AB47-1C83055DBC8A}"/>
              </c:ext>
            </c:extLst>
          </c:dPt>
          <c:dPt>
            <c:idx val="4"/>
            <c:bubble3D val="0"/>
            <c:spPr>
              <a:solidFill>
                <a:schemeClr val="accent1">
                  <a:tint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9D5-4B95-AB47-1C83055DBC8A}"/>
              </c:ext>
            </c:extLst>
          </c:dPt>
          <c:dPt>
            <c:idx val="5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D5-4B95-AB47-1C83055DBC8A}"/>
              </c:ext>
            </c:extLst>
          </c:dPt>
          <c:dPt>
            <c:idx val="6"/>
            <c:bubble3D val="0"/>
            <c:spPr>
              <a:solidFill>
                <a:schemeClr val="accent1">
                  <a:tint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9D5-4B95-AB47-1C83055DBC8A}"/>
              </c:ext>
            </c:extLst>
          </c:dPt>
          <c:dLbls>
            <c:dLbl>
              <c:idx val="0"/>
              <c:layout>
                <c:manualLayout>
                  <c:x val="0.18888888888888888"/>
                  <c:y val="6.48148148148148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9D5-4B95-AB47-1C83055DBC8A}"/>
                </c:ext>
              </c:extLst>
            </c:dLbl>
            <c:dLbl>
              <c:idx val="1"/>
              <c:layout>
                <c:manualLayout>
                  <c:x val="-0.26736701012210801"/>
                  <c:y val="0.231481481481481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9D5-4B95-AB47-1C83055DBC8A}"/>
                </c:ext>
              </c:extLst>
            </c:dLbl>
            <c:dLbl>
              <c:idx val="2"/>
              <c:layout>
                <c:manualLayout>
                  <c:x val="-0.29450143560621261"/>
                  <c:y val="-4.629629629629638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9D5-4B95-AB47-1C83055DBC8A}"/>
                </c:ext>
              </c:extLst>
            </c:dLbl>
            <c:dLbl>
              <c:idx val="3"/>
              <c:layout>
                <c:manualLayout>
                  <c:x val="-0.31289292632278742"/>
                  <c:y val="-0.157407407407407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D5-4B95-AB47-1C83055DBC8A}"/>
                </c:ext>
              </c:extLst>
            </c:dLbl>
            <c:dLbl>
              <c:idx val="4"/>
              <c:layout>
                <c:manualLayout>
                  <c:x val="-0.18350977502505814"/>
                  <c:y val="-0.217592592592592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D5-4B95-AB47-1C83055DBC8A}"/>
                </c:ext>
              </c:extLst>
            </c:dLbl>
            <c:dLbl>
              <c:idx val="5"/>
              <c:layout>
                <c:manualLayout>
                  <c:x val="-3.9827937362907684E-2"/>
                  <c:y val="-0.166666666666666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9D5-4B95-AB47-1C83055DBC8A}"/>
                </c:ext>
              </c:extLst>
            </c:dLbl>
            <c:dLbl>
              <c:idx val="6"/>
              <c:layout>
                <c:manualLayout>
                  <c:x val="0.31666666666666665"/>
                  <c:y val="-5.09259259259259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9D5-4B95-AB47-1C83055DB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'1'!$K$15:$K$21</c:f>
              <c:strCache>
                <c:ptCount val="7"/>
                <c:pt idx="0">
                  <c:v>Rent</c:v>
                </c:pt>
                <c:pt idx="1">
                  <c:v>Internet</c:v>
                </c:pt>
                <c:pt idx="2">
                  <c:v>Mobile phone</c:v>
                </c:pt>
                <c:pt idx="3">
                  <c:v>Water</c:v>
                </c:pt>
                <c:pt idx="4">
                  <c:v>Gas</c:v>
                </c:pt>
                <c:pt idx="5">
                  <c:v>Electricity</c:v>
                </c:pt>
                <c:pt idx="6">
                  <c:v>Waste</c:v>
                </c:pt>
              </c:strCache>
            </c:strRef>
          </c:cat>
          <c:val>
            <c:numRef>
              <c:f>'1'!$M$15:$M$21</c:f>
              <c:numCache>
                <c:formatCode>_-* #\ ##0.00\ [$zł-415]_-;\-* #\ ##0.00\ [$zł-415]_-;_-* "-"??\ [$zł-415]_-;_-@_-</c:formatCode>
                <c:ptCount val="7"/>
                <c:pt idx="0">
                  <c:v>1500</c:v>
                </c:pt>
                <c:pt idx="1">
                  <c:v>45</c:v>
                </c:pt>
                <c:pt idx="2">
                  <c:v>30</c:v>
                </c:pt>
                <c:pt idx="3">
                  <c:v>35</c:v>
                </c:pt>
                <c:pt idx="4">
                  <c:v>25</c:v>
                </c:pt>
                <c:pt idx="5">
                  <c:v>70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5-4B95-AB47-1C83055DB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Subscriptions</a:t>
            </a:r>
            <a:r>
              <a:rPr lang="en-US" baseline="0"/>
              <a:t> structure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'1'!$R$14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EB7-41AA-9930-4E61FD57B604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EB7-41AA-9930-4E61FD57B604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B7-41AA-9930-4E61FD57B604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B7-41AA-9930-4E61FD57B604}"/>
              </c:ext>
            </c:extLst>
          </c:dPt>
          <c:dLbls>
            <c:dLbl>
              <c:idx val="0"/>
              <c:layout>
                <c:manualLayout>
                  <c:x val="0.17777777777777767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B7-41AA-9930-4E61FD57B604}"/>
                </c:ext>
              </c:extLst>
            </c:dLbl>
            <c:dLbl>
              <c:idx val="1"/>
              <c:layout>
                <c:manualLayout>
                  <c:x val="0.33333333333333331"/>
                  <c:y val="3.240740740740740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B7-41AA-9930-4E61FD57B604}"/>
                </c:ext>
              </c:extLst>
            </c:dLbl>
            <c:dLbl>
              <c:idx val="2"/>
              <c:layout>
                <c:manualLayout>
                  <c:x val="-0.16666666666666669"/>
                  <c:y val="-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B7-41AA-9930-4E61FD57B604}"/>
                </c:ext>
              </c:extLst>
            </c:dLbl>
            <c:dLbl>
              <c:idx val="3"/>
              <c:layout>
                <c:manualLayout>
                  <c:x val="-0.20555555555555552"/>
                  <c:y val="-5.555555555555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B7-41AA-9930-4E61FD57B6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'1'!$P$15:$P$18</c:f>
              <c:strCache>
                <c:ptCount val="4"/>
                <c:pt idx="0">
                  <c:v>Netflix</c:v>
                </c:pt>
                <c:pt idx="1">
                  <c:v>Spotify</c:v>
                </c:pt>
                <c:pt idx="2">
                  <c:v>Audible</c:v>
                </c:pt>
                <c:pt idx="3">
                  <c:v>iCloud</c:v>
                </c:pt>
              </c:strCache>
            </c:strRef>
          </c:cat>
          <c:val>
            <c:numRef>
              <c:f>'1'!$R$15:$R$18</c:f>
              <c:numCache>
                <c:formatCode>_-* #\ ##0.00\ [$zł-415]_-;\-* #\ ##0.00\ [$zł-415]_-;_-* "-"??\ [$zł-415]_-;_-@_-</c:formatCode>
                <c:ptCount val="4"/>
                <c:pt idx="0">
                  <c:v>33</c:v>
                </c:pt>
                <c:pt idx="1">
                  <c:v>12.99</c:v>
                </c:pt>
                <c:pt idx="2">
                  <c:v>42.69</c:v>
                </c:pt>
                <c:pt idx="3">
                  <c:v>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7-41AA-9930-4E61FD57B6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Savings structure</a:t>
            </a:r>
          </a:p>
        </c:rich>
      </c:tx>
      <c:layout>
        <c:manualLayout>
          <c:xMode val="edge"/>
          <c:yMode val="edge"/>
          <c:x val="0.3414166666666666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'1'!$V$14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B3E-49D6-BBCD-A8C9119C4A54}"/>
              </c:ext>
            </c:extLst>
          </c:dPt>
          <c:dPt>
            <c:idx val="1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B3E-49D6-BBCD-A8C9119C4A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B3E-49D6-BBCD-A8C9119C4A54}"/>
              </c:ext>
            </c:extLst>
          </c:dPt>
          <c:dPt>
            <c:idx val="3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B3E-49D6-BBCD-A8C9119C4A54}"/>
              </c:ext>
            </c:extLst>
          </c:dPt>
          <c:dPt>
            <c:idx val="4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B3E-49D6-BBCD-A8C9119C4A54}"/>
              </c:ext>
            </c:extLst>
          </c:dPt>
          <c:dLbls>
            <c:dLbl>
              <c:idx val="0"/>
              <c:layout>
                <c:manualLayout>
                  <c:x val="0.1611111111111112"/>
                  <c:y val="-0.1250000000000000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3E-49D6-BBCD-A8C9119C4A54}"/>
                </c:ext>
              </c:extLst>
            </c:dLbl>
            <c:dLbl>
              <c:idx val="1"/>
              <c:layout>
                <c:manualLayout>
                  <c:x val="0.20555555555555546"/>
                  <c:y val="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B3E-49D6-BBCD-A8C9119C4A54}"/>
                </c:ext>
              </c:extLst>
            </c:dLbl>
            <c:dLbl>
              <c:idx val="2"/>
              <c:layout>
                <c:manualLayout>
                  <c:x val="0.19722222222222222"/>
                  <c:y val="8.79629629629629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B3E-49D6-BBCD-A8C9119C4A54}"/>
                </c:ext>
              </c:extLst>
            </c:dLbl>
            <c:dLbl>
              <c:idx val="3"/>
              <c:layout>
                <c:manualLayout>
                  <c:x val="-0.16967751704925832"/>
                  <c:y val="-0.2037033391659376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6007990652028377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B3E-49D6-BBCD-A8C9119C4A54}"/>
                </c:ext>
              </c:extLst>
            </c:dLbl>
            <c:dLbl>
              <c:idx val="4"/>
              <c:layout>
                <c:manualLayout>
                  <c:x val="-0.13611111111111113"/>
                  <c:y val="-0.1203703703703703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B3E-49D6-BBCD-A8C9119C4A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'1'!$U$15:$U$19</c:f>
              <c:strCache>
                <c:ptCount val="5"/>
                <c:pt idx="0">
                  <c:v>Investments</c:v>
                </c:pt>
                <c:pt idx="1">
                  <c:v>Retirement</c:v>
                </c:pt>
                <c:pt idx="2">
                  <c:v>Travel</c:v>
                </c:pt>
                <c:pt idx="3">
                  <c:v>Appliances&amp;Furniture</c:v>
                </c:pt>
                <c:pt idx="4">
                  <c:v>Electronics</c:v>
                </c:pt>
              </c:strCache>
            </c:strRef>
          </c:cat>
          <c:val>
            <c:numRef>
              <c:f>'1'!$V$15:$V$19</c:f>
              <c:numCache>
                <c:formatCode>_-* #\ ##0.00\ [$zł-415]_-;\-* #\ ##0.00\ [$zł-415]_-;_-* "-"??\ [$zł-415]_-;_-@_-</c:formatCode>
                <c:ptCount val="5"/>
                <c:pt idx="0">
                  <c:v>350</c:v>
                </c:pt>
                <c:pt idx="1">
                  <c:v>400</c:v>
                </c:pt>
                <c:pt idx="2">
                  <c:v>500</c:v>
                </c:pt>
                <c:pt idx="3">
                  <c:v>150</c:v>
                </c:pt>
                <c:pt idx="4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E-49D6-BBCD-A8C9119C4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371474</xdr:colOff>
      <xdr:row>0</xdr:row>
      <xdr:rowOff>47625</xdr:rowOff>
    </xdr:from>
    <xdr:to>
      <xdr:col>8</xdr:col>
      <xdr:colOff>761999</xdr:colOff>
      <xdr:row>11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36F10D-0A22-28FB-CFA3-F386AF0C6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119061</xdr:rowOff>
    </xdr:from>
    <xdr:to>
      <xdr:col>3</xdr:col>
      <xdr:colOff>500063</xdr:colOff>
      <xdr:row>41</xdr:row>
      <xdr:rowOff>123824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DD26F06-75A7-5302-F513-A7784B341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583406</xdr:colOff>
      <xdr:row>27</xdr:row>
      <xdr:rowOff>138112</xdr:rowOff>
    </xdr:from>
    <xdr:to>
      <xdr:col>7</xdr:col>
      <xdr:colOff>542926</xdr:colOff>
      <xdr:row>42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BAB4FC-E411-67CC-F0EE-738F84964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566737</xdr:colOff>
      <xdr:row>27</xdr:row>
      <xdr:rowOff>176212</xdr:rowOff>
    </xdr:from>
    <xdr:to>
      <xdr:col>12</xdr:col>
      <xdr:colOff>28575</xdr:colOff>
      <xdr:row>42</xdr:row>
      <xdr:rowOff>61912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478586-D54F-17A5-3747-6F9EC1F122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185737</xdr:colOff>
      <xdr:row>27</xdr:row>
      <xdr:rowOff>157162</xdr:rowOff>
    </xdr:from>
    <xdr:to>
      <xdr:col>17</xdr:col>
      <xdr:colOff>95250</xdr:colOff>
      <xdr:row>42</xdr:row>
      <xdr:rowOff>42862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4AD8F87-0B63-6DFA-9083-62920F49B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116682</xdr:colOff>
      <xdr:row>28</xdr:row>
      <xdr:rowOff>23812</xdr:rowOff>
    </xdr:from>
    <xdr:to>
      <xdr:col>22</xdr:col>
      <xdr:colOff>204788</xdr:colOff>
      <xdr:row>42</xdr:row>
      <xdr:rowOff>100012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CAD5169-F638-1E1E-FF11-F01DD52A3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ivaldi\&#1047;&#1072;&#1074;&#1072;&#1085;&#1090;&#1072;&#1078;&#1077;&#1085;&#1085;&#1103;\Bussiness%20data%20processing\Finanse_YevhenPyrih.xlsx" TargetMode="External"/><Relationship Id="rId1" Type="http://schemas.openxmlformats.org/officeDocument/2006/relationships/externalLinkPath" Target="Finanse_YevhenPyri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ions"/>
      <sheetName val="Summary1"/>
      <sheetName val="Summary2"/>
      <sheetName val="Summary3"/>
      <sheetName val="Diction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76CECD-D08B-4FD8-8B17-CB25FFF439A3}" name="Income_1" displayName="Income_1" ref="A14:D25" totalsRowCount="1" headerRowDxfId="61" headerRowBorderDxfId="63" tableBorderDxfId="64" totalsRowBorderDxfId="62">
  <autoFilter ref="A14:D24" xr:uid="{3576CECD-D08B-4FD8-8B17-CB25FFF439A3}"/>
  <tableColumns count="4">
    <tableColumn id="1" xr3:uid="{DB45FF9F-9F9F-4141-A23F-ED6FED6731D7}" name="Source" totalsRowLabel="Total" dataDxfId="60" totalsRowDxfId="8"/>
    <tableColumn id="2" xr3:uid="{7B6A5A3D-DBAC-4EA4-AF13-529A5F83A8D4}" name="Planned" totalsRowFunction="sum" dataDxfId="59" totalsRowDxfId="9"/>
    <tableColumn id="3" xr3:uid="{7AF58220-6963-4A2D-A680-A02A8B988F91}" name="Actual" totalsRowFunction="sum" dataDxfId="58" totalsRowDxfId="10"/>
    <tableColumn id="4" xr3:uid="{60C839A8-B5C2-4C69-9E8C-BB70A082DB27}" name="Left" totalsRowFunction="sum" dataDxfId="57" totalsRow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8B116CE-31B6-45DF-A5E5-6F83DAC4414E}" name="Expences_1" displayName="Expences_1" ref="F14:I25" totalsRowCount="1" headerRowDxfId="53" headerRowBorderDxfId="55" tableBorderDxfId="56" totalsRowBorderDxfId="54">
  <autoFilter ref="F14:I24" xr:uid="{38B116CE-31B6-45DF-A5E5-6F83DAC4414E}"/>
  <tableColumns count="4">
    <tableColumn id="1" xr3:uid="{ECA25263-6A33-47CD-9CED-5DB1B56650A1}" name="Category" totalsRowLabel="Total" dataDxfId="52" totalsRowDxfId="12"/>
    <tableColumn id="2" xr3:uid="{3CF5C307-0DA7-4414-8352-DF3F67A52DDF}" name="Planned" totalsRowFunction="sum" dataDxfId="51" totalsRowDxfId="2" dataCellStyle="Currency"/>
    <tableColumn id="3" xr3:uid="{F72178FB-352A-4464-BFA0-6DFF1A7F664C}" name="Actual" totalsRowFunction="sum" dataDxfId="50" totalsRowDxfId="1"/>
    <tableColumn id="4" xr3:uid="{B2B3DDF9-6879-4316-BEF8-3C498D36A566}" name="Left" totalsRowFunction="sum" dataDxfId="49" totalsRowDxfId="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C700B2-B76E-4491-9483-1D89F694F63F}" name="Bills_1" displayName="Bills_1" ref="K14:N25" totalsRowCount="1" headerRowDxfId="45" headerRowBorderDxfId="47" tableBorderDxfId="48" totalsRowBorderDxfId="46">
  <autoFilter ref="K14:N24" xr:uid="{ECC700B2-B76E-4491-9483-1D89F694F63F}"/>
  <tableColumns count="4">
    <tableColumn id="1" xr3:uid="{8990D9C7-F554-4B4C-A192-8252002EF453}" name="Bill" totalsRowLabel="Total" dataDxfId="44" totalsRowDxfId="40"/>
    <tableColumn id="2" xr3:uid="{616B2417-E1FF-4FA0-8922-F272C1DAB2F2}" name="Due" dataDxfId="43" totalsRowDxfId="39"/>
    <tableColumn id="3" xr3:uid="{B0CCB303-5DA5-4F37-A315-B9DB73AEFF2F}" name="Planned" totalsRowFunction="sum" dataDxfId="42" totalsRowDxfId="38" dataCellStyle="Currency"/>
    <tableColumn id="4" xr3:uid="{70102AF6-5773-4EE9-9657-E64BCFE375C3}" name="Actual" totalsRowFunction="sum" dataDxfId="41" totalsRowDxfId="37" dataCellStyle="Currenc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FF32752-EBDA-4F8F-82CD-629DF8D15E9C}" name="Subscriptions_1" displayName="Subscriptions_1" ref="P14:S25" totalsRowCount="1" headerRowDxfId="33" headerRowBorderDxfId="35" tableBorderDxfId="36" totalsRowBorderDxfId="34">
  <autoFilter ref="P14:S24" xr:uid="{9FF32752-EBDA-4F8F-82CD-629DF8D15E9C}"/>
  <tableColumns count="4">
    <tableColumn id="1" xr3:uid="{3C02E8F0-13E9-424E-B7AF-D5724C34666B}" name="Subscription" totalsRowLabel="Total" dataDxfId="32" totalsRowDxfId="21"/>
    <tableColumn id="2" xr3:uid="{B70303BB-BF1D-4BE7-BFC5-2EAA1211CDC0}" name="Due" dataDxfId="31" totalsRowDxfId="20"/>
    <tableColumn id="3" xr3:uid="{8357E25C-717E-404A-A3DD-008AF29E6973}" name="Planned" totalsRowFunction="sum" dataDxfId="30" totalsRowDxfId="19"/>
    <tableColumn id="4" xr3:uid="{7D6BB139-278B-49C2-82FC-0965B46301A3}" name="Actual" totalsRowFunction="sum" dataDxfId="29" totalsRowDxfId="1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E50FE7-83F4-4B53-A84C-5F88036A5021}" name="Savings_1" displayName="Savings_1" ref="U14:X25" totalsRowCount="1" headerRowDxfId="25" headerRowBorderDxfId="27" tableBorderDxfId="28" totalsRowBorderDxfId="26">
  <autoFilter ref="U14:X24" xr:uid="{44E50FE7-83F4-4B53-A84C-5F88036A5021}"/>
  <tableColumns count="4">
    <tableColumn id="1" xr3:uid="{CEDE4352-31FD-44C8-8C09-0DE9DDB90690}" name="Aim" totalsRowLabel="Total" dataDxfId="24" totalsRowDxfId="17"/>
    <tableColumn id="2" xr3:uid="{35773036-32C5-460E-B459-D0F4F4C7D93D}" name="Planned" totalsRowFunction="sum" dataDxfId="23" totalsRowDxfId="16"/>
    <tableColumn id="3" xr3:uid="{7A5FAE9F-793E-45AA-B99C-7D83BDAD79B4}" name="Actual" totalsRowFunction="sum" dataDxfId="22" totalsRowDxfId="15"/>
    <tableColumn id="4" xr3:uid="{3514E309-5672-4451-B01F-041F61E45C7A}" name="Left" totalsRowFunction="sum" dataDxfId="13" totalsRowDxfId="14">
      <calculatedColumnFormula>Savings_1[[#This Row],[Planned]]-Savings_1[[#This Row],[Actual]]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05D01-09F3-473C-BD5D-530D7D865754}">
  <dimension ref="A1:X26"/>
  <sheetViews>
    <sheetView tabSelected="1" zoomScale="80" zoomScaleNormal="80" workbookViewId="0">
      <selection activeCell="C5" sqref="C5"/>
    </sheetView>
  </sheetViews>
  <sheetFormatPr defaultRowHeight="14.4" x14ac:dyDescent="0.3"/>
  <cols>
    <col min="1" max="1" width="14.5546875" style="1" customWidth="1"/>
    <col min="2" max="2" width="14.33203125" style="1" bestFit="1" customWidth="1"/>
    <col min="3" max="3" width="14.33203125" style="1" customWidth="1"/>
    <col min="4" max="4" width="16" style="1" customWidth="1"/>
    <col min="5" max="5" width="11.5546875" style="1" customWidth="1"/>
    <col min="6" max="6" width="18.6640625" style="1" customWidth="1"/>
    <col min="7" max="7" width="13.88671875" style="1" customWidth="1"/>
    <col min="8" max="8" width="12.109375" style="1" bestFit="1" customWidth="1"/>
    <col min="9" max="9" width="13.33203125" style="1" customWidth="1"/>
    <col min="10" max="10" width="7" style="1" customWidth="1"/>
    <col min="11" max="11" width="17.109375" style="1" customWidth="1"/>
    <col min="12" max="12" width="14.33203125" style="1" customWidth="1"/>
    <col min="13" max="13" width="20.33203125" style="1" customWidth="1"/>
    <col min="14" max="14" width="9" style="1" customWidth="1"/>
    <col min="15" max="15" width="9.44140625" style="1" customWidth="1"/>
    <col min="16" max="16" width="11.88671875" style="1" bestFit="1" customWidth="1"/>
    <col min="17" max="17" width="18.88671875" style="1" customWidth="1"/>
    <col min="18" max="18" width="10.44140625" customWidth="1"/>
    <col min="19" max="19" width="21.109375" customWidth="1"/>
    <col min="20" max="20" width="8.6640625" customWidth="1"/>
    <col min="21" max="21" width="23.33203125" customWidth="1"/>
    <col min="22" max="22" width="16.44140625" customWidth="1"/>
    <col min="23" max="23" width="12.88671875" customWidth="1"/>
    <col min="24" max="24" width="9.5546875" bestFit="1" customWidth="1"/>
  </cols>
  <sheetData>
    <row r="1" spans="1:24" x14ac:dyDescent="0.3">
      <c r="A1" s="24" t="s">
        <v>36</v>
      </c>
      <c r="B1" s="25"/>
      <c r="C1" s="25"/>
      <c r="D1" s="26"/>
    </row>
    <row r="2" spans="1:24" x14ac:dyDescent="0.3">
      <c r="A2" s="27" t="str" cm="1">
        <f t="array" aca="1" ref="A2" ca="1">_xlfn.TEXTAFTER(CELL("filename", A1), "]")</f>
        <v>1</v>
      </c>
      <c r="B2" s="28"/>
      <c r="C2" s="28"/>
      <c r="D2" s="29"/>
    </row>
    <row r="4" spans="1:24" x14ac:dyDescent="0.3">
      <c r="B4" s="2" t="s">
        <v>9</v>
      </c>
      <c r="C4" s="2" t="s">
        <v>11</v>
      </c>
      <c r="D4" s="2" t="s">
        <v>38</v>
      </c>
    </row>
    <row r="5" spans="1:24" x14ac:dyDescent="0.3">
      <c r="A5" s="2" t="s">
        <v>0</v>
      </c>
      <c r="B5" s="8" cm="1">
        <f t="array" aca="1" ref="B5" ca="1">INDIRECT($A5&amp;"_"&amp;$A$2&amp;"[[#Totals];["&amp;B$4&amp;"]]")</f>
        <v>5700</v>
      </c>
      <c r="C5" s="8" cm="1">
        <f t="array" aca="1" ref="C5" ca="1">INDIRECT($A5&amp;"_"&amp;$A$2&amp;"[[#Totals];["&amp;C$4&amp;"]]")</f>
        <v>5655.5</v>
      </c>
      <c r="D5" s="8">
        <f ca="1">C5-B5</f>
        <v>-44.5</v>
      </c>
    </row>
    <row r="6" spans="1:24" x14ac:dyDescent="0.3">
      <c r="A6" s="2" t="s">
        <v>5</v>
      </c>
      <c r="B6" s="8" cm="1">
        <f t="array" aca="1" ref="B6" ca="1">INDIRECT($A6&amp;"_"&amp;$A$2&amp;"[[#Totals];["&amp;B$4&amp;"]]")</f>
        <v>3800</v>
      </c>
      <c r="C6" s="8" cm="1">
        <f t="array" aca="1" ref="C6" ca="1">INDIRECT($A6&amp;"_"&amp;$A$2&amp;"[[#Totals];["&amp;C$4&amp;"]]")</f>
        <v>4810</v>
      </c>
      <c r="D6" s="8">
        <f t="shared" ref="D6:D7" ca="1" si="0">B6-C6</f>
        <v>-1010</v>
      </c>
    </row>
    <row r="7" spans="1:24" x14ac:dyDescent="0.3">
      <c r="A7" s="2" t="s">
        <v>31</v>
      </c>
      <c r="B7" s="8" cm="1">
        <f t="array" aca="1" ref="B7" ca="1">INDIRECT($A7&amp;"_"&amp;$A$2&amp;"[[#Totals];["&amp;B$4&amp;"]]")</f>
        <v>1900</v>
      </c>
      <c r="C7" s="8" cm="1">
        <f t="array" aca="1" ref="C7" ca="1">INDIRECT($A7&amp;"_"&amp;$A$2&amp;"[[#Totals];["&amp;C$4&amp;"]]")</f>
        <v>1000</v>
      </c>
      <c r="D7" s="8">
        <f t="shared" ca="1" si="0"/>
        <v>900</v>
      </c>
    </row>
    <row r="8" spans="1:24" x14ac:dyDescent="0.3">
      <c r="B8" s="9"/>
      <c r="C8" s="9"/>
      <c r="D8" s="9"/>
    </row>
    <row r="9" spans="1:24" x14ac:dyDescent="0.3">
      <c r="A9" s="2" t="s">
        <v>37</v>
      </c>
      <c r="B9" s="8">
        <f ca="1">B5-B6-B7</f>
        <v>0</v>
      </c>
      <c r="C9" s="8">
        <f ca="1">C5-C6-C7</f>
        <v>-154.5</v>
      </c>
      <c r="D9" s="8">
        <f ca="1">D5+D6+D7</f>
        <v>-154.5</v>
      </c>
    </row>
    <row r="12" spans="1:24" ht="15" thickBot="1" x14ac:dyDescent="0.35"/>
    <row r="13" spans="1:24" ht="15" thickBot="1" x14ac:dyDescent="0.35">
      <c r="A13" s="30" t="s">
        <v>0</v>
      </c>
      <c r="B13" s="31"/>
      <c r="C13" s="31"/>
      <c r="D13" s="32"/>
      <c r="E13" s="19"/>
      <c r="F13" s="33" t="s">
        <v>5</v>
      </c>
      <c r="G13" s="34"/>
      <c r="H13" s="34"/>
      <c r="I13" s="35"/>
      <c r="K13" s="65" t="s">
        <v>6</v>
      </c>
      <c r="L13" s="65"/>
      <c r="M13" s="65"/>
      <c r="N13" s="65"/>
      <c r="P13" s="64" t="s">
        <v>7</v>
      </c>
      <c r="Q13" s="64"/>
      <c r="R13" s="64"/>
      <c r="S13" s="64"/>
      <c r="U13" s="84" t="s">
        <v>31</v>
      </c>
      <c r="V13" s="85"/>
      <c r="W13" s="85"/>
      <c r="X13" s="86"/>
    </row>
    <row r="14" spans="1:24" x14ac:dyDescent="0.3">
      <c r="A14" s="66" t="s">
        <v>24</v>
      </c>
      <c r="B14" s="67" t="s">
        <v>9</v>
      </c>
      <c r="C14" s="67" t="s">
        <v>11</v>
      </c>
      <c r="D14" s="68" t="s">
        <v>38</v>
      </c>
      <c r="E14" s="19"/>
      <c r="F14" s="71" t="s">
        <v>8</v>
      </c>
      <c r="G14" s="72" t="s">
        <v>9</v>
      </c>
      <c r="H14" s="72" t="s">
        <v>11</v>
      </c>
      <c r="I14" s="73" t="s">
        <v>38</v>
      </c>
      <c r="K14" s="74" t="s">
        <v>46</v>
      </c>
      <c r="L14" s="75" t="s">
        <v>10</v>
      </c>
      <c r="M14" s="75" t="s">
        <v>9</v>
      </c>
      <c r="N14" s="76" t="s">
        <v>11</v>
      </c>
      <c r="P14" s="78" t="s">
        <v>47</v>
      </c>
      <c r="Q14" s="79" t="s">
        <v>10</v>
      </c>
      <c r="R14" s="79" t="s">
        <v>9</v>
      </c>
      <c r="S14" s="80" t="s">
        <v>11</v>
      </c>
      <c r="U14" s="81" t="s">
        <v>32</v>
      </c>
      <c r="V14" s="82" t="s">
        <v>9</v>
      </c>
      <c r="W14" s="83" t="s">
        <v>11</v>
      </c>
      <c r="X14" s="82" t="s">
        <v>38</v>
      </c>
    </row>
    <row r="15" spans="1:24" x14ac:dyDescent="0.3">
      <c r="A15" s="36" t="s">
        <v>27</v>
      </c>
      <c r="B15" s="12">
        <v>2500</v>
      </c>
      <c r="C15" s="12">
        <f ca="1">_xlfn.XLOOKUP(A15,[1]!Incomes1[Category],[1]!Incomes1[Total],"",0,1)</f>
        <v>250</v>
      </c>
      <c r="D15" s="37">
        <f ca="1">C15-B15</f>
        <v>-2250</v>
      </c>
      <c r="E15" s="19"/>
      <c r="F15" s="39" t="s">
        <v>12</v>
      </c>
      <c r="G15" s="10">
        <v>1740</v>
      </c>
      <c r="H15" s="11">
        <f ca="1">-_xlfn.XLOOKUP(F15,[1]!Expenses1[Category],[1]!Expenses1[Total],0,1)</f>
        <v>2000</v>
      </c>
      <c r="I15" s="40">
        <f ca="1">G15-H15</f>
        <v>-260</v>
      </c>
      <c r="K15" s="45" t="s">
        <v>1</v>
      </c>
      <c r="L15" s="5">
        <f ca="1">DATE(2025,$A$2, 10)</f>
        <v>45667</v>
      </c>
      <c r="M15" s="13">
        <v>1500</v>
      </c>
      <c r="N15" s="47"/>
      <c r="P15" s="51" t="s">
        <v>19</v>
      </c>
      <c r="Q15" s="6">
        <f ca="1">DATE(2025,$A$2, RANDBETWEEN(1, 28))</f>
        <v>45684</v>
      </c>
      <c r="R15" s="15">
        <v>33</v>
      </c>
      <c r="S15" s="53"/>
      <c r="U15" s="58" t="s">
        <v>33</v>
      </c>
      <c r="V15" s="17">
        <v>350</v>
      </c>
      <c r="W15" s="60"/>
      <c r="X15" s="60">
        <f>Savings_1[[#This Row],[Planned]]-Savings_1[[#This Row],[Actual]]</f>
        <v>350</v>
      </c>
    </row>
    <row r="16" spans="1:24" x14ac:dyDescent="0.3">
      <c r="A16" s="36" t="s">
        <v>39</v>
      </c>
      <c r="B16" s="12">
        <v>300</v>
      </c>
      <c r="C16" s="12">
        <f ca="1">_xlfn.XLOOKUP(A16,[1]!Incomes1[Category],[1]!Incomes1[Total],"",0,1)</f>
        <v>105.5</v>
      </c>
      <c r="D16" s="37">
        <f t="shared" ref="D16:D20" ca="1" si="1">C16-B16</f>
        <v>-194.5</v>
      </c>
      <c r="E16" s="19"/>
      <c r="F16" s="39" t="s">
        <v>23</v>
      </c>
      <c r="G16" s="10">
        <v>200</v>
      </c>
      <c r="H16" s="11">
        <f ca="1">-_xlfn.XLOOKUP(F16,[1]!Expenses1[Category],[1]!Expenses1[Total],0,1)</f>
        <v>80</v>
      </c>
      <c r="I16" s="40">
        <f t="shared" ref="I16:I23" ca="1" si="2">G16-H16</f>
        <v>120</v>
      </c>
      <c r="K16" s="45" t="s">
        <v>2</v>
      </c>
      <c r="L16" s="5">
        <f ca="1">DATE(2025,$A$2, 5)</f>
        <v>45662</v>
      </c>
      <c r="M16" s="13">
        <v>45</v>
      </c>
      <c r="N16" s="47"/>
      <c r="P16" s="51" t="s">
        <v>20</v>
      </c>
      <c r="Q16" s="6">
        <f ca="1">DATE(2025,$A$2, RANDBETWEEN(1, 28))</f>
        <v>45685</v>
      </c>
      <c r="R16" s="15">
        <v>12.99</v>
      </c>
      <c r="S16" s="53"/>
      <c r="U16" s="58" t="s">
        <v>34</v>
      </c>
      <c r="V16" s="17">
        <v>400</v>
      </c>
      <c r="W16" s="60"/>
      <c r="X16" s="60">
        <f>Savings_1[[#This Row],[Planned]]-Savings_1[[#This Row],[Actual]]</f>
        <v>400</v>
      </c>
    </row>
    <row r="17" spans="1:24" x14ac:dyDescent="0.3">
      <c r="A17" s="36" t="s">
        <v>40</v>
      </c>
      <c r="B17" s="12">
        <v>500</v>
      </c>
      <c r="C17" s="12">
        <f ca="1">_xlfn.XLOOKUP(A17,[1]!Incomes1[Category],[1]!Incomes1[Total],"",0,1)</f>
        <v>0</v>
      </c>
      <c r="D17" s="37">
        <f t="shared" ca="1" si="1"/>
        <v>-500</v>
      </c>
      <c r="E17" s="19"/>
      <c r="F17" s="39" t="s">
        <v>13</v>
      </c>
      <c r="G17" s="10">
        <v>300</v>
      </c>
      <c r="H17" s="11">
        <f ca="1">-_xlfn.XLOOKUP(F17,[1]!Expenses1[Category],[1]!Expenses1[Total],0,1)</f>
        <v>85</v>
      </c>
      <c r="I17" s="40">
        <f t="shared" ca="1" si="2"/>
        <v>215</v>
      </c>
      <c r="K17" s="45" t="s">
        <v>15</v>
      </c>
      <c r="L17" s="5">
        <f ca="1">DATE(2025,$A$2, 5)</f>
        <v>45662</v>
      </c>
      <c r="M17" s="13">
        <v>30</v>
      </c>
      <c r="N17" s="47"/>
      <c r="P17" s="51" t="s">
        <v>21</v>
      </c>
      <c r="Q17" s="6">
        <f ca="1">DATE(2025,$A$2, RANDBETWEEN(1, 28))</f>
        <v>45667</v>
      </c>
      <c r="R17" s="15">
        <v>42.69</v>
      </c>
      <c r="S17" s="53"/>
      <c r="U17" s="58" t="s">
        <v>35</v>
      </c>
      <c r="V17" s="17">
        <v>500</v>
      </c>
      <c r="W17" s="60">
        <v>500</v>
      </c>
      <c r="X17" s="60">
        <f>Savings_1[[#This Row],[Planned]]-Savings_1[[#This Row],[Actual]]</f>
        <v>0</v>
      </c>
    </row>
    <row r="18" spans="1:24" x14ac:dyDescent="0.3">
      <c r="A18" s="36" t="s">
        <v>41</v>
      </c>
      <c r="B18" s="12">
        <v>100</v>
      </c>
      <c r="C18" s="12">
        <f ca="1">_xlfn.XLOOKUP(A18,[1]!Incomes1[Category],[1]!Incomes1[Total],"",0,1)</f>
        <v>800</v>
      </c>
      <c r="D18" s="37">
        <f t="shared" ca="1" si="1"/>
        <v>700</v>
      </c>
      <c r="E18" s="19"/>
      <c r="F18" s="39" t="s">
        <v>3</v>
      </c>
      <c r="G18" s="11">
        <v>750</v>
      </c>
      <c r="H18" s="11">
        <f ca="1">-_xlfn.XLOOKUP(F18,[1]!Expenses1[Category],[1]!Expenses1[Total],0,1)</f>
        <v>1715</v>
      </c>
      <c r="I18" s="40">
        <f t="shared" ca="1" si="2"/>
        <v>-965</v>
      </c>
      <c r="K18" s="45" t="s">
        <v>14</v>
      </c>
      <c r="L18" s="5">
        <f ca="1">DATE(2025,$A$2, 10)</f>
        <v>45667</v>
      </c>
      <c r="M18" s="13">
        <v>35</v>
      </c>
      <c r="N18" s="47"/>
      <c r="P18" s="51" t="s">
        <v>22</v>
      </c>
      <c r="Q18" s="6">
        <f ca="1">DATE(2025,$A$2, RANDBETWEEN(1, 28))</f>
        <v>45679</v>
      </c>
      <c r="R18" s="15">
        <v>4.99</v>
      </c>
      <c r="S18" s="53"/>
      <c r="U18" s="58" t="s">
        <v>30</v>
      </c>
      <c r="V18" s="17">
        <v>150</v>
      </c>
      <c r="W18" s="60"/>
      <c r="X18" s="61">
        <f>Savings_1[[#This Row],[Planned]]-Savings_1[[#This Row],[Actual]]</f>
        <v>150</v>
      </c>
    </row>
    <row r="19" spans="1:24" x14ac:dyDescent="0.3">
      <c r="A19" s="36" t="s">
        <v>26</v>
      </c>
      <c r="B19" s="12">
        <v>1500</v>
      </c>
      <c r="C19" s="12">
        <f ca="1">_xlfn.XLOOKUP(A19,[1]!Incomes1[Category],[1]!Incomes1[Total],"",0,1)</f>
        <v>4500</v>
      </c>
      <c r="D19" s="37">
        <f t="shared" ca="1" si="1"/>
        <v>3000</v>
      </c>
      <c r="E19" s="19"/>
      <c r="F19" s="39" t="s">
        <v>28</v>
      </c>
      <c r="G19" s="11">
        <v>130</v>
      </c>
      <c r="H19" s="11">
        <f ca="1">-_xlfn.XLOOKUP(F19,[1]!Expenses1[Category],[1]!Expenses1[Total],0,1)</f>
        <v>100</v>
      </c>
      <c r="I19" s="40">
        <f t="shared" ca="1" si="2"/>
        <v>30</v>
      </c>
      <c r="K19" s="45" t="s">
        <v>16</v>
      </c>
      <c r="L19" s="5">
        <f ca="1">DATE(2025,$A$2, 10)</f>
        <v>45667</v>
      </c>
      <c r="M19" s="13">
        <v>25</v>
      </c>
      <c r="N19" s="47"/>
      <c r="P19" s="51"/>
      <c r="Q19" s="6"/>
      <c r="R19" s="15"/>
      <c r="S19" s="53"/>
      <c r="U19" s="58" t="s">
        <v>29</v>
      </c>
      <c r="V19" s="17">
        <v>500</v>
      </c>
      <c r="W19" s="60">
        <v>500</v>
      </c>
      <c r="X19" s="61">
        <f>Savings_1[[#This Row],[Planned]]-Savings_1[[#This Row],[Actual]]</f>
        <v>0</v>
      </c>
    </row>
    <row r="20" spans="1:24" x14ac:dyDescent="0.3">
      <c r="A20" s="36" t="s">
        <v>25</v>
      </c>
      <c r="B20" s="12">
        <v>800</v>
      </c>
      <c r="C20" s="12">
        <f ca="1">_xlfn.XLOOKUP(A20,[1]!Incomes1[Category],[1]!Incomes1[Total],"",0,1)</f>
        <v>0</v>
      </c>
      <c r="D20" s="37">
        <f t="shared" ca="1" si="1"/>
        <v>-800</v>
      </c>
      <c r="E20" s="19"/>
      <c r="F20" s="39" t="s">
        <v>42</v>
      </c>
      <c r="G20" s="11">
        <v>130</v>
      </c>
      <c r="H20" s="11">
        <f ca="1">-_xlfn.XLOOKUP(F20,[1]!Expenses1[Category],[1]!Expenses1[Total],0,1)</f>
        <v>150</v>
      </c>
      <c r="I20" s="40">
        <f t="shared" ca="1" si="2"/>
        <v>-20</v>
      </c>
      <c r="K20" s="45" t="s">
        <v>17</v>
      </c>
      <c r="L20" s="5">
        <f ca="1">DATE(2025,$A$2, 10)</f>
        <v>45667</v>
      </c>
      <c r="M20" s="13">
        <v>70</v>
      </c>
      <c r="N20" s="47"/>
      <c r="P20" s="51"/>
      <c r="Q20" s="6"/>
      <c r="R20" s="15"/>
      <c r="S20" s="53"/>
      <c r="U20" s="58"/>
      <c r="V20" s="17"/>
      <c r="W20" s="60"/>
      <c r="X20" s="61">
        <f>Savings_1[[#This Row],[Planned]]-Savings_1[[#This Row],[Actual]]</f>
        <v>0</v>
      </c>
    </row>
    <row r="21" spans="1:24" x14ac:dyDescent="0.3">
      <c r="A21" s="36"/>
      <c r="B21" s="12"/>
      <c r="C21" s="12"/>
      <c r="D21" s="37"/>
      <c r="E21" s="19"/>
      <c r="F21" s="39" t="s">
        <v>43</v>
      </c>
      <c r="G21" s="11">
        <v>200</v>
      </c>
      <c r="H21" s="11">
        <f ca="1">-_xlfn.XLOOKUP(F21,[1]!Expenses1[Category],[1]!Expenses1[Total],0,1)</f>
        <v>500</v>
      </c>
      <c r="I21" s="40">
        <f t="shared" ca="1" si="2"/>
        <v>-300</v>
      </c>
      <c r="K21" s="45" t="s">
        <v>18</v>
      </c>
      <c r="L21" s="5">
        <f ca="1">DATE(2025,$A$2, 10)</f>
        <v>45667</v>
      </c>
      <c r="M21" s="13">
        <v>35</v>
      </c>
      <c r="N21" s="47"/>
      <c r="P21" s="51"/>
      <c r="Q21" s="6"/>
      <c r="R21" s="15"/>
      <c r="S21" s="53"/>
      <c r="U21" s="58"/>
      <c r="V21" s="17"/>
      <c r="W21" s="60"/>
      <c r="X21" s="61">
        <f>Savings_1[[#This Row],[Planned]]-Savings_1[[#This Row],[Actual]]</f>
        <v>0</v>
      </c>
    </row>
    <row r="22" spans="1:24" x14ac:dyDescent="0.3">
      <c r="A22" s="36"/>
      <c r="B22" s="12"/>
      <c r="C22" s="12"/>
      <c r="D22" s="37"/>
      <c r="E22" s="19"/>
      <c r="F22" s="39" t="s">
        <v>44</v>
      </c>
      <c r="G22" s="10">
        <v>200</v>
      </c>
      <c r="H22" s="11">
        <f ca="1">-_xlfn.XLOOKUP(F22,[1]!Expenses1[Category],[1]!Expenses1[Total],0,1)</f>
        <v>100</v>
      </c>
      <c r="I22" s="40">
        <f t="shared" ca="1" si="2"/>
        <v>100</v>
      </c>
      <c r="K22" s="45"/>
      <c r="L22" s="3"/>
      <c r="M22" s="13"/>
      <c r="N22" s="47"/>
      <c r="P22" s="51"/>
      <c r="Q22" s="6"/>
      <c r="R22" s="15"/>
      <c r="S22" s="53"/>
      <c r="U22" s="58"/>
      <c r="V22" s="17"/>
      <c r="W22" s="60"/>
      <c r="X22" s="61">
        <f>Savings_1[[#This Row],[Planned]]-Savings_1[[#This Row],[Actual]]</f>
        <v>0</v>
      </c>
    </row>
    <row r="23" spans="1:24" x14ac:dyDescent="0.3">
      <c r="A23" s="36"/>
      <c r="B23" s="12"/>
      <c r="C23" s="12"/>
      <c r="D23" s="37"/>
      <c r="E23" s="19"/>
      <c r="F23" s="39" t="s">
        <v>4</v>
      </c>
      <c r="G23" s="10">
        <v>150</v>
      </c>
      <c r="H23" s="11">
        <f ca="1">-_xlfn.XLOOKUP(F23,[1]!Expenses1[Category],[1]!Expenses1[Total],0,1)</f>
        <v>80</v>
      </c>
      <c r="I23" s="40">
        <f t="shared" ca="1" si="2"/>
        <v>70</v>
      </c>
      <c r="K23" s="45"/>
      <c r="L23" s="3"/>
      <c r="M23" s="13"/>
      <c r="N23" s="47"/>
      <c r="P23" s="51"/>
      <c r="Q23" s="6"/>
      <c r="R23" s="15"/>
      <c r="S23" s="53"/>
      <c r="U23" s="58"/>
      <c r="V23" s="17"/>
      <c r="W23" s="60"/>
      <c r="X23" s="61">
        <f>Savings_1[[#This Row],[Planned]]-Savings_1[[#This Row],[Actual]]</f>
        <v>0</v>
      </c>
    </row>
    <row r="24" spans="1:24" x14ac:dyDescent="0.3">
      <c r="A24" s="38"/>
      <c r="B24" s="69"/>
      <c r="C24" s="69"/>
      <c r="D24" s="70"/>
      <c r="E24" s="19"/>
      <c r="F24" s="41"/>
      <c r="G24" s="42"/>
      <c r="H24" s="43"/>
      <c r="I24" s="44"/>
      <c r="K24" s="46"/>
      <c r="L24" s="4"/>
      <c r="M24" s="14"/>
      <c r="N24" s="48"/>
      <c r="P24" s="52"/>
      <c r="Q24" s="7"/>
      <c r="R24" s="16"/>
      <c r="S24" s="54"/>
      <c r="U24" s="59"/>
      <c r="V24" s="18"/>
      <c r="W24" s="61"/>
      <c r="X24" s="61">
        <f>Savings_1[[#This Row],[Planned]]-Savings_1[[#This Row],[Actual]]</f>
        <v>0</v>
      </c>
    </row>
    <row r="25" spans="1:24" ht="15" thickBot="1" x14ac:dyDescent="0.35">
      <c r="A25" s="21" t="s">
        <v>45</v>
      </c>
      <c r="B25" s="20">
        <f>SUBTOTAL(109,Income_1[Planned])</f>
        <v>5700</v>
      </c>
      <c r="C25" s="20">
        <f ca="1">SUBTOTAL(109,Income_1[Actual])</f>
        <v>5655.5</v>
      </c>
      <c r="D25" s="20">
        <f ca="1">SUBTOTAL(109,Income_1[Left])</f>
        <v>-44.5</v>
      </c>
      <c r="E25" s="19"/>
      <c r="F25" s="22" t="s">
        <v>45</v>
      </c>
      <c r="G25" s="23">
        <f>SUBTOTAL(109,Expences_1[Planned])</f>
        <v>3800</v>
      </c>
      <c r="H25" s="23">
        <f ca="1">SUBTOTAL(109,Expences_1[Actual])</f>
        <v>4810</v>
      </c>
      <c r="I25" s="23">
        <f ca="1">SUBTOTAL(109,Expences_1[Left])</f>
        <v>-1010</v>
      </c>
      <c r="K25" s="49" t="s">
        <v>45</v>
      </c>
      <c r="L25" s="49"/>
      <c r="M25" s="77">
        <f>SUBTOTAL(109,Bills_1[Planned])</f>
        <v>1740</v>
      </c>
      <c r="N25" s="50">
        <f>SUBTOTAL(109,Bills_1[Actual])</f>
        <v>0</v>
      </c>
      <c r="P25" s="55" t="s">
        <v>45</v>
      </c>
      <c r="Q25" s="56"/>
      <c r="R25" s="57">
        <f>SUBTOTAL(109,Subscriptions_1[Planned])</f>
        <v>93.67</v>
      </c>
      <c r="S25" s="57">
        <f>SUBTOTAL(109,Subscriptions_1[Actual])</f>
        <v>0</v>
      </c>
      <c r="U25" s="62" t="s">
        <v>45</v>
      </c>
      <c r="V25" s="63">
        <f>SUBTOTAL(109,Savings_1[Planned])</f>
        <v>1900</v>
      </c>
      <c r="W25" s="63">
        <f>SUBTOTAL(109,Savings_1[Actual])</f>
        <v>1000</v>
      </c>
      <c r="X25" s="63">
        <f>SUBTOTAL(109,Savings_1[Left])</f>
        <v>900</v>
      </c>
    </row>
    <row r="26" spans="1:24" x14ac:dyDescent="0.3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</sheetData>
  <sortState xmlns:xlrd2="http://schemas.microsoft.com/office/spreadsheetml/2017/richdata2" ref="A15:A20">
    <sortCondition ref="A15:A20"/>
  </sortState>
  <mergeCells count="7">
    <mergeCell ref="F13:I13"/>
    <mergeCell ref="P13:S13"/>
    <mergeCell ref="K13:N13"/>
    <mergeCell ref="A13:D13"/>
    <mergeCell ref="U13:X13"/>
    <mergeCell ref="A1:D1"/>
    <mergeCell ref="A2:D2"/>
  </mergeCells>
  <conditionalFormatting sqref="B9:D9">
    <cfRule type="cellIs" dxfId="7" priority="5" operator="lessThan">
      <formula>0</formula>
    </cfRule>
  </conditionalFormatting>
  <conditionalFormatting sqref="L15:L24">
    <cfRule type="cellIs" dxfId="6" priority="1" operator="equal">
      <formula>TODAY()</formula>
    </cfRule>
    <cfRule type="cellIs" dxfId="5" priority="2" operator="lessThan">
      <formula>TODAY()</formula>
    </cfRule>
  </conditionalFormatting>
  <conditionalFormatting sqref="Q15:Q24">
    <cfRule type="cellIs" dxfId="4" priority="3" operator="equal">
      <formula>TODAY()</formula>
    </cfRule>
    <cfRule type="cellIs" dxfId="3" priority="4" operator="lessThan">
      <formula>TODAY()</formula>
    </cfRule>
  </conditionalFormatting>
  <pageMargins left="0.7" right="0.7" top="0.75" bottom="0.75" header="0.3" footer="0.3"/>
  <pageSetup paperSize="9" scale="34" orientation="portrait" verticalDpi="0" r:id="rId1"/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Yevhen Pyrih</cp:lastModifiedBy>
  <dcterms:created xsi:type="dcterms:W3CDTF">2025-10-29T14:06:24Z</dcterms:created>
  <dcterms:modified xsi:type="dcterms:W3CDTF">2025-12-17T15:14:58Z</dcterms:modified>
</cp:coreProperties>
</file>